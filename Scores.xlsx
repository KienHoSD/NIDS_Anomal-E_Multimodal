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<sst xmlns="http://schemas.openxmlformats.org/spreadsheetml/2006/main" count="561" uniqueCount="104">
  <si>
    <t xml:space="preserve">Test data is self-collected (35.44% contaminated)</t>
  </si>
  <si>
    <t xml:space="preserve">NF-UNSW-NB15-v2 results (0% contamination).</t>
  </si>
  <si>
    <t xml:space="preserve">NF-UNSW-NB15-v2 DGI Model and NF-UNSW-NB15-v3 Train + Test (0% contamination).</t>
  </si>
  <si>
    <t xml:space="preserve">Performance evaluation for metrics on all datasets compared with the baseline algorithms (0% contamination).</t>
  </si>
  <si>
    <t xml:space="preserve">NF-CSE-CIC-IDS2018-v2 DGI Model and Self-Collected-NF-CSE-CICIDS Train + Test (0% contamination).</t>
  </si>
  <si>
    <t xml:space="preserve">Self-Collected</t>
  </si>
  <si>
    <t xml:space="preserve">CSE-v2</t>
  </si>
  <si>
    <t xml:space="preserve">CSE-v3</t>
  </si>
  <si>
    <t xml:space="preserve">Raw Features</t>
  </si>
  <si>
    <t xml:space="preserve">Embeddings</t>
  </si>
  <si>
    <t xml:space="preserve">Fusion</t>
  </si>
  <si>
    <t xml:space="preserve">NF-UNSW-NB15-v2 </t>
  </si>
  <si>
    <t xml:space="preserve">NF-CSE-CIC-IDS2018-v2 </t>
  </si>
  <si>
    <t xml:space="preserve">NF-UNSW-NB15-v3</t>
  </si>
  <si>
    <t xml:space="preserve">NF-CSE-CIC-IDS2018-v3</t>
  </si>
  <si>
    <t xml:space="preserve">Self-Collected-CSE-CICIDS</t>
  </si>
  <si>
    <t xml:space="preserve">Average</t>
  </si>
  <si>
    <t xml:space="preserve">NF-CSE-CIC-IDS2018-v2 DGI Model
Self-Collected-NF-CSE-CICIDS Train+Test</t>
  </si>
  <si>
    <t xml:space="preserve">NF-CSE-CIC-IDS2018-v3 DGI Model
Self-Collected-NF-CSE-CICIDS Train+Test</t>
  </si>
  <si>
    <t xml:space="preserve">Benign</t>
  </si>
  <si>
    <t xml:space="preserve">Acc</t>
  </si>
  <si>
    <t xml:space="preserve">Macro F1</t>
  </si>
  <si>
    <t xml:space="preserve">DR</t>
  </si>
  <si>
    <t xml:space="preserve">Weighted F1</t>
  </si>
  <si>
    <t xml:space="preserve">Weighted DR</t>
  </si>
  <si>
    <t xml:space="preserve">Bot</t>
  </si>
  <si>
    <t xml:space="preserve">PCA</t>
  </si>
  <si>
    <t xml:space="preserve">Raw-Features-PCA</t>
  </si>
  <si>
    <t xml:space="preserve">Raw-Features-RF</t>
  </si>
  <si>
    <t xml:space="preserve">Brute Force – Web</t>
  </si>
  <si>
    <t xml:space="preserve">IF</t>
  </si>
  <si>
    <t xml:space="preserve">Embeddings-PCA</t>
  </si>
  <si>
    <t xml:space="preserve">Embeddings-RF</t>
  </si>
  <si>
    <t xml:space="preserve">Brute Force – XSS</t>
  </si>
  <si>
    <t xml:space="preserve">CBLOF</t>
  </si>
  <si>
    <t xml:space="preserve">Fusion-PCA</t>
  </si>
  <si>
    <t xml:space="preserve">Fusion-RF</t>
  </si>
  <si>
    <t xml:space="preserve">DDOS attack – HOIC</t>
  </si>
  <si>
    <t xml:space="preserve">HBOS</t>
  </si>
  <si>
    <t xml:space="preserve">Raw-Features-IF</t>
  </si>
  <si>
    <t xml:space="preserve">Embeddings-IF</t>
  </si>
  <si>
    <t xml:space="preserve">Raw-Features-XGBoost</t>
  </si>
  <si>
    <t xml:space="preserve">DDOS attack – LOIC-UDP</t>
  </si>
  <si>
    <t xml:space="preserve">Fusion-IF</t>
  </si>
  <si>
    <t xml:space="preserve">Embeddings-XGBoost</t>
  </si>
  <si>
    <t xml:space="preserve">DDOS attack – LOIC-HTTP</t>
  </si>
  <si>
    <t xml:space="preserve">NF-UNSW-NB15-v2 results (4% contamination).</t>
  </si>
  <si>
    <t xml:space="preserve">NF-UNSW-NB15-v2 DGI Model and NF-UNSW-NB15-v3 Train + Test (4% contamination).</t>
  </si>
  <si>
    <t xml:space="preserve">NF-CSE-CIC-IDS2018-v2 DGI Model and Self-Collected-NF-CSE-CICIDS Train + Test (35.44% contamination).</t>
  </si>
  <si>
    <t xml:space="preserve">Embeddings-CBLOF</t>
  </si>
  <si>
    <t xml:space="preserve">Fusion-XGBoost</t>
  </si>
  <si>
    <t xml:space="preserve">DoS attacks – GoldenEye</t>
  </si>
  <si>
    <t xml:space="preserve">Raw-Features-CBLOF</t>
  </si>
  <si>
    <t xml:space="preserve">Fusion-CBLOF</t>
  </si>
  <si>
    <t xml:space="preserve">Raw-Features-CatBoost</t>
  </si>
  <si>
    <t xml:space="preserve">DoS attacks – Hulk</t>
  </si>
  <si>
    <t xml:space="preserve">Embeddings-HBOS</t>
  </si>
  <si>
    <t xml:space="preserve">Embeddings-CatBoost</t>
  </si>
  <si>
    <t xml:space="preserve">DoS attacks - SlowHTTPTest</t>
  </si>
  <si>
    <t xml:space="preserve">Fusion-HBOS</t>
  </si>
  <si>
    <t xml:space="preserve">Fusion-CatBoost</t>
  </si>
  <si>
    <t xml:space="preserve">DoS attacks - Slowloris</t>
  </si>
  <si>
    <t xml:space="preserve">Raw-Features-HBOS</t>
  </si>
  <si>
    <t xml:space="preserve">Raw-Features-ExtraTrees</t>
  </si>
  <si>
    <t xml:space="preserve">FTP – BruteForce</t>
  </si>
  <si>
    <t xml:space="preserve">Embeddings-ExtraTree</t>
  </si>
  <si>
    <t xml:space="preserve">Infilteration</t>
  </si>
  <si>
    <t xml:space="preserve">Fusion-ExtraTree</t>
  </si>
  <si>
    <t xml:space="preserve">SQL Injection</t>
  </si>
  <si>
    <t xml:space="preserve">Performance evaluation for metrics on all datasets compared with the baseline algorithms (contaminated).</t>
  </si>
  <si>
    <t xml:space="preserve">SSH-Bruteforce</t>
  </si>
  <si>
    <t xml:space="preserve">NF-CSE-CIC-IDS2018-v2 results (0% contamination).</t>
  </si>
  <si>
    <t xml:space="preserve">NF-CSE-CIC-IDS2018-v2 DGI Model and NF-CSE-CIC-IDS2018-v3 Train + Test (0% contamination) .</t>
  </si>
  <si>
    <t xml:space="preserve">NF-CSE-CIC-IDS2018-v3 DGI Model and Self-Collected-NF-CSE-CICIDS Train + Test (0% contamination).</t>
  </si>
  <si>
    <t xml:space="preserve">UNSW-v2</t>
  </si>
  <si>
    <t xml:space="preserve">UNSW-v3</t>
  </si>
  <si>
    <t xml:space="preserve">Analysis</t>
  </si>
  <si>
    <t xml:space="preserve">Backdoor</t>
  </si>
  <si>
    <t xml:space="preserve">Dos</t>
  </si>
  <si>
    <t xml:space="preserve">Exploits</t>
  </si>
  <si>
    <t xml:space="preserve">Fuzzers</t>
  </si>
  <si>
    <t xml:space="preserve"> </t>
  </si>
  <si>
    <t xml:space="preserve">Generic</t>
  </si>
  <si>
    <t xml:space="preserve">NF-CSE-CIC-IDS2018-v2 results (12% contamination).</t>
  </si>
  <si>
    <t xml:space="preserve">NF-CSE-CIC-IDS2018-v2 DGI Model and NF-CSE-CIC-IDS2018-v3 Train + Test (12.9% contamination).</t>
  </si>
  <si>
    <t xml:space="preserve">NF-CSE-CIC-IDS2018-v3 DGI Model and Self-Collected-NF-CSE-CICIDS Train + Test (35.44% contamination).</t>
  </si>
  <si>
    <t xml:space="preserve">Reconnaissance</t>
  </si>
  <si>
    <t xml:space="preserve">Shellcode</t>
  </si>
  <si>
    <t xml:space="preserve">Worms</t>
  </si>
  <si>
    <t xml:space="preserve">NF-UNSW-NB15-v3 results (0% contamination).</t>
  </si>
  <si>
    <t xml:space="preserve">NF-UNSW-NB15-v3 DGI Model and NF-UNSW-NB15-v2 Train + Test (0% contamination).</t>
  </si>
  <si>
    <t xml:space="preserve">Performance evaluation for metrics on all datasets compared with the baseline algorithms (0% contamination). </t>
  </si>
  <si>
    <t xml:space="preserve">NF-UNSW-NB15-v2 DGI Model
NF-UNSW-NB15-v3 Train+Test</t>
  </si>
  <si>
    <t xml:space="preserve">NF-CSE-CIC-IDS2018-v2 DGI Model
NF-CSE-CIC-IDS2018-v3 Train+Test</t>
  </si>
  <si>
    <t xml:space="preserve">NF-UNSW-NB15-v3 DGI Model
NF-UNSW-NB15-v2 Train+Test</t>
  </si>
  <si>
    <t xml:space="preserve">NF-CSE-CIC-IDS2018-v3 DGI Model
NF-CSE-CIC-IDS2018-v2 Train+Test</t>
  </si>
  <si>
    <t xml:space="preserve">NF-UNSW-NB15-v3 results (4% contamination).</t>
  </si>
  <si>
    <t xml:space="preserve">NF-UNSW-NB15-v3 DGI Model and NF-UNSW-NB15-v2 Train + Test (4% contamination).</t>
  </si>
  <si>
    <t xml:space="preserve">NF-CSE-CIC-IDS2018-v3 results (0% contamination).</t>
  </si>
  <si>
    <t xml:space="preserve">NF-CSE-CIC-IDS2018-v3 DGI Model and NF-CSE-CIC-IDS2018-v2 Train + Test (0% contamination).</t>
  </si>
  <si>
    <t xml:space="preserve">NF-CSE-CIC-IDS2018-v3 results (12.9% contamination).</t>
  </si>
  <si>
    <t xml:space="preserve">NF-CSE-CIC-IDS2018-v3 DGI Model and NF-CSE-CIC-IDS2018-v2 Train + Test (12% contamination).</t>
  </si>
  <si>
    <t xml:space="preserve">Self-Collected-CSE-CICIDS results (0% contamination).</t>
  </si>
  <si>
    <t xml:space="preserve">Self-Collected-CSE-CICIDS results (10% contamination).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</si>
</sst>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T96"/>
  <sheetViews>
    <sheetView showFormulas="false" showGridLines="true" showRowColHeaders="true" showZeros="true" rightToLeft="false" tabSelected="true" showOutlineSymbols="true" defaultGridColor="true" view="normal" topLeftCell="A61" colorId="64" zoomScale="65" zoomScaleNormal="65" zoomScalePageLayoutView="100" workbookViewId="0">
      <selection pane="topLeft" activeCell="AW36" activeCellId="0" sqref="AW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7"/>
    <col collapsed="false" customWidth="true" hidden="false" outlineLevel="0" max="24" min="2" style="0" width="8.75"/>
    <col collapsed="false" customWidth="true" hidden="false" outlineLevel="0" max="25" min="25" style="0" width="24.66"/>
    <col collapsed="false" customWidth="true" hidden="false" outlineLevel="0" max="37" min="26" style="0" width="10.26"/>
    <col collapsed="false" customWidth="true" hidden="false" outlineLevel="0" max="38" min="38" style="0" width="8.61"/>
    <col collapsed="false" customWidth="true" hidden="false" outlineLevel="0" max="54" min="39" style="0" width="8.75"/>
    <col collapsed="false" customWidth="true" hidden="false" outlineLevel="0" max="55" min="55" style="0" width="27.28"/>
    <col collapsed="false" customWidth="true" hidden="false" outlineLevel="0" max="61" min="56" style="0" width="12.24"/>
    <col collapsed="false" customWidth="true" hidden="false" outlineLevel="0" max="65" min="62" style="0" width="8.61"/>
    <col collapsed="false" customWidth="true" hidden="false" outlineLevel="0" max="66" min="66" style="0" width="27.17"/>
    <col collapsed="false" customWidth="true" hidden="false" outlineLevel="0" max="82" min="67" style="0" width="11.23"/>
    <col collapsed="false" customWidth="true" hidden="false" outlineLevel="0" max="83" min="83" style="0" width="10.07"/>
    <col collapsed="false" customWidth="true" hidden="false" outlineLevel="0" max="84" min="84" style="0" width="27.73"/>
    <col collapsed="false" customWidth="true" hidden="false" outlineLevel="0" max="85" min="85" style="0" width="12.58"/>
    <col collapsed="false" customWidth="true" hidden="false" outlineLevel="0" max="93" min="93" style="0" width="24.6"/>
  </cols>
  <sheetData>
    <row r="3" customFormat="false" ht="12.8" hidden="false" customHeight="false" outlineLevel="0" collapsed="false">
      <c r="AT3" s="0" t="s">
        <v>0</v>
      </c>
    </row>
    <row r="6" customFormat="false" ht="12.8" hidden="false" customHeight="false" outlineLevel="0" collapsed="false">
      <c r="E6" s="0" t="s">
        <v>1</v>
      </c>
      <c r="O6" s="0" t="s">
        <v>2</v>
      </c>
      <c r="Y6" s="1"/>
      <c r="Z6" s="0" t="s">
        <v>3</v>
      </c>
      <c r="AR6" s="0" t="s">
        <v>4</v>
      </c>
      <c r="BC6" s="0" t="s">
        <v>3</v>
      </c>
    </row>
    <row r="7" customFormat="false" ht="12.8" hidden="false" customHeight="false" outlineLevel="0" collapsed="false">
      <c r="CG7" s="0" t="s">
        <v>5</v>
      </c>
      <c r="CH7" s="0" t="s">
        <v>6</v>
      </c>
      <c r="CI7" s="0" t="s">
        <v>7</v>
      </c>
    </row>
    <row r="8" customFormat="false" ht="18" hidden="false" customHeight="true" outlineLevel="0" collapsed="false">
      <c r="B8" s="2"/>
      <c r="C8" s="3" t="s">
        <v>8</v>
      </c>
      <c r="D8" s="3"/>
      <c r="E8" s="3"/>
      <c r="F8" s="3" t="s">
        <v>9</v>
      </c>
      <c r="G8" s="3"/>
      <c r="H8" s="3"/>
      <c r="I8" s="3" t="s">
        <v>10</v>
      </c>
      <c r="J8" s="3"/>
      <c r="K8" s="3"/>
      <c r="O8" s="2"/>
      <c r="P8" s="3" t="s">
        <v>9</v>
      </c>
      <c r="Q8" s="3"/>
      <c r="R8" s="3"/>
      <c r="S8" s="3" t="s">
        <v>10</v>
      </c>
      <c r="T8" s="3"/>
      <c r="U8" s="3"/>
      <c r="Y8" s="4"/>
      <c r="Z8" s="3" t="s">
        <v>11</v>
      </c>
      <c r="AA8" s="3"/>
      <c r="AB8" s="3"/>
      <c r="AC8" s="3" t="s">
        <v>12</v>
      </c>
      <c r="AD8" s="3"/>
      <c r="AE8" s="3"/>
      <c r="AF8" s="3" t="s">
        <v>13</v>
      </c>
      <c r="AG8" s="3" t="s">
        <v>14</v>
      </c>
      <c r="AH8" s="3"/>
      <c r="AI8" s="3" t="s">
        <v>14</v>
      </c>
      <c r="AJ8" s="3"/>
      <c r="AK8" s="3"/>
      <c r="AL8" s="3" t="s">
        <v>15</v>
      </c>
      <c r="AM8" s="3"/>
      <c r="AN8" s="3"/>
      <c r="AO8" s="2" t="s">
        <v>16</v>
      </c>
      <c r="AS8" s="2"/>
      <c r="AT8" s="3" t="s">
        <v>9</v>
      </c>
      <c r="AU8" s="3"/>
      <c r="AV8" s="3"/>
      <c r="AW8" s="3" t="s">
        <v>10</v>
      </c>
      <c r="AX8" s="3"/>
      <c r="AY8" s="3"/>
      <c r="BC8" s="4"/>
      <c r="BD8" s="5" t="s">
        <v>17</v>
      </c>
      <c r="BE8" s="5"/>
      <c r="BF8" s="5"/>
      <c r="BG8" s="5" t="s">
        <v>18</v>
      </c>
      <c r="BH8" s="5"/>
      <c r="BI8" s="5"/>
      <c r="BJ8" s="6" t="s">
        <v>16</v>
      </c>
      <c r="BN8" s="4"/>
      <c r="BO8" s="3" t="s">
        <v>5</v>
      </c>
      <c r="BP8" s="3"/>
      <c r="BQ8" s="3"/>
      <c r="BR8" s="3" t="s">
        <v>11</v>
      </c>
      <c r="BS8" s="3"/>
      <c r="BT8" s="3"/>
      <c r="BU8" s="3" t="s">
        <v>13</v>
      </c>
      <c r="BV8" s="3" t="s">
        <v>14</v>
      </c>
      <c r="BW8" s="3"/>
      <c r="BX8" s="3" t="s">
        <v>12</v>
      </c>
      <c r="BY8" s="3" t="s">
        <v>14</v>
      </c>
      <c r="BZ8" s="3"/>
      <c r="CA8" s="3" t="s">
        <v>14</v>
      </c>
      <c r="CB8" s="3" t="s">
        <v>14</v>
      </c>
      <c r="CC8" s="3"/>
      <c r="CD8" s="2" t="s">
        <v>16</v>
      </c>
      <c r="CF8" s="7" t="s">
        <v>19</v>
      </c>
      <c r="CG8" s="8" t="n">
        <v>63554</v>
      </c>
      <c r="CH8" s="8" t="n">
        <v>166205</v>
      </c>
      <c r="CI8" s="8" t="n">
        <v>175543</v>
      </c>
    </row>
    <row r="9" customFormat="false" ht="18" hidden="false" customHeight="true" outlineLevel="0" collapsed="false">
      <c r="B9" s="2"/>
      <c r="C9" s="2" t="s">
        <v>20</v>
      </c>
      <c r="D9" s="2" t="s">
        <v>21</v>
      </c>
      <c r="E9" s="2" t="s">
        <v>22</v>
      </c>
      <c r="F9" s="2" t="s">
        <v>20</v>
      </c>
      <c r="G9" s="2" t="s">
        <v>21</v>
      </c>
      <c r="H9" s="2" t="s">
        <v>22</v>
      </c>
      <c r="I9" s="2" t="s">
        <v>20</v>
      </c>
      <c r="J9" s="2" t="s">
        <v>21</v>
      </c>
      <c r="K9" s="2" t="s">
        <v>22</v>
      </c>
      <c r="O9" s="2"/>
      <c r="P9" s="2" t="s">
        <v>20</v>
      </c>
      <c r="Q9" s="2" t="s">
        <v>21</v>
      </c>
      <c r="R9" s="2" t="s">
        <v>22</v>
      </c>
      <c r="S9" s="2" t="s">
        <v>20</v>
      </c>
      <c r="T9" s="2" t="s">
        <v>21</v>
      </c>
      <c r="U9" s="2" t="s">
        <v>22</v>
      </c>
      <c r="Y9" s="4"/>
      <c r="Z9" s="2" t="s">
        <v>20</v>
      </c>
      <c r="AA9" s="2" t="s">
        <v>21</v>
      </c>
      <c r="AB9" s="2" t="s">
        <v>22</v>
      </c>
      <c r="AC9" s="2" t="s">
        <v>20</v>
      </c>
      <c r="AD9" s="2" t="s">
        <v>21</v>
      </c>
      <c r="AE9" s="2" t="s">
        <v>22</v>
      </c>
      <c r="AF9" s="2" t="s">
        <v>20</v>
      </c>
      <c r="AG9" s="2" t="s">
        <v>21</v>
      </c>
      <c r="AH9" s="2" t="s">
        <v>22</v>
      </c>
      <c r="AI9" s="2" t="s">
        <v>20</v>
      </c>
      <c r="AJ9" s="2" t="s">
        <v>21</v>
      </c>
      <c r="AK9" s="2" t="s">
        <v>22</v>
      </c>
      <c r="AL9" s="2" t="s">
        <v>20</v>
      </c>
      <c r="AM9" s="2" t="s">
        <v>21</v>
      </c>
      <c r="AN9" s="2" t="s">
        <v>22</v>
      </c>
      <c r="AO9" s="2" t="s">
        <v>21</v>
      </c>
      <c r="AS9" s="2"/>
      <c r="AT9" s="2" t="s">
        <v>20</v>
      </c>
      <c r="AU9" s="2" t="s">
        <v>21</v>
      </c>
      <c r="AV9" s="2" t="s">
        <v>22</v>
      </c>
      <c r="AW9" s="2" t="s">
        <v>20</v>
      </c>
      <c r="AX9" s="2" t="s">
        <v>21</v>
      </c>
      <c r="AY9" s="2" t="s">
        <v>22</v>
      </c>
      <c r="BC9" s="4"/>
      <c r="BD9" s="5"/>
      <c r="BE9" s="5"/>
      <c r="BF9" s="5"/>
      <c r="BG9" s="5"/>
      <c r="BH9" s="5"/>
      <c r="BI9" s="5"/>
      <c r="BJ9" s="6"/>
      <c r="BN9" s="4"/>
      <c r="BO9" s="2" t="s">
        <v>20</v>
      </c>
      <c r="BP9" s="2" t="s">
        <v>23</v>
      </c>
      <c r="BQ9" s="2" t="s">
        <v>24</v>
      </c>
      <c r="BR9" s="2" t="s">
        <v>20</v>
      </c>
      <c r="BS9" s="2" t="s">
        <v>23</v>
      </c>
      <c r="BT9" s="2" t="s">
        <v>24</v>
      </c>
      <c r="BU9" s="2" t="s">
        <v>20</v>
      </c>
      <c r="BV9" s="2" t="s">
        <v>23</v>
      </c>
      <c r="BW9" s="2" t="s">
        <v>24</v>
      </c>
      <c r="BX9" s="2" t="s">
        <v>20</v>
      </c>
      <c r="BY9" s="2" t="s">
        <v>23</v>
      </c>
      <c r="BZ9" s="2" t="s">
        <v>24</v>
      </c>
      <c r="CA9" s="2" t="s">
        <v>20</v>
      </c>
      <c r="CB9" s="2" t="s">
        <v>23</v>
      </c>
      <c r="CC9" s="2" t="s">
        <v>24</v>
      </c>
      <c r="CD9" s="2" t="s">
        <v>23</v>
      </c>
      <c r="CF9" s="0" t="s">
        <v>25</v>
      </c>
      <c r="CG9" s="0" t="n">
        <v>0</v>
      </c>
      <c r="CH9" s="8" t="n">
        <v>14207</v>
      </c>
      <c r="CI9" s="8" t="n">
        <v>20730</v>
      </c>
    </row>
    <row r="10" customFormat="false" ht="18" hidden="false" customHeight="true" outlineLevel="0" collapsed="false">
      <c r="B10" s="2" t="s">
        <v>26</v>
      </c>
      <c r="C10" s="9" t="n">
        <v>0.9445</v>
      </c>
      <c r="D10" s="9" t="n">
        <v>0.7099</v>
      </c>
      <c r="E10" s="9" t="n">
        <v>0.5687</v>
      </c>
      <c r="F10" s="9" t="n">
        <v>0.9764</v>
      </c>
      <c r="G10" s="9" t="n">
        <v>0.8359</v>
      </c>
      <c r="H10" s="9" t="n">
        <v>0.642</v>
      </c>
      <c r="I10" s="9" t="n">
        <v>0.9762</v>
      </c>
      <c r="J10" s="9" t="n">
        <v>0.8311</v>
      </c>
      <c r="K10" s="9" t="n">
        <v>0.6201</v>
      </c>
      <c r="O10" s="2" t="s">
        <v>26</v>
      </c>
      <c r="P10" s="9" t="n">
        <v>0.8563</v>
      </c>
      <c r="Q10" s="9" t="n">
        <v>0.6411</v>
      </c>
      <c r="R10" s="9" t="n">
        <v>1</v>
      </c>
      <c r="S10" s="9" t="n">
        <v>0.9987</v>
      </c>
      <c r="T10" s="9" t="n">
        <v>0.9916</v>
      </c>
      <c r="U10" s="9" t="n">
        <v>1</v>
      </c>
      <c r="Y10" s="10" t="s">
        <v>27</v>
      </c>
      <c r="Z10" s="11" t="n">
        <f aca="false">C10</f>
        <v>0.9445</v>
      </c>
      <c r="AA10" s="11" t="n">
        <f aca="false">D10</f>
        <v>0.7099</v>
      </c>
      <c r="AB10" s="11" t="n">
        <f aca="false">E10</f>
        <v>0.5687</v>
      </c>
      <c r="AC10" s="11" t="n">
        <f aca="false">C29</f>
        <v>0.8826</v>
      </c>
      <c r="AD10" s="11" t="n">
        <f aca="false">D29</f>
        <v>0.7676</v>
      </c>
      <c r="AE10" s="11" t="n">
        <f aca="false">E29</f>
        <v>0.7495</v>
      </c>
      <c r="AF10" s="11" t="n">
        <f aca="false">C47</f>
        <v>0.9873</v>
      </c>
      <c r="AG10" s="11" t="n">
        <f aca="false">D47</f>
        <v>0.908</v>
      </c>
      <c r="AH10" s="11" t="n">
        <f aca="false">E47</f>
        <v>0.7183</v>
      </c>
      <c r="AI10" s="11" t="n">
        <f aca="false">C65</f>
        <v>0.7984</v>
      </c>
      <c r="AJ10" s="11" t="n">
        <f aca="false">D65</f>
        <v>0.508</v>
      </c>
      <c r="AK10" s="11" t="n">
        <f aca="false">E65</f>
        <v>0.1165</v>
      </c>
      <c r="AL10" s="11" t="n">
        <f aca="false">C83</f>
        <v>0.8921</v>
      </c>
      <c r="AM10" s="11" t="n">
        <f aca="false">D83</f>
        <v>0.4785</v>
      </c>
      <c r="AN10" s="11" t="n">
        <f aca="false">E83</f>
        <v>0.4986</v>
      </c>
      <c r="AO10" s="12" t="n">
        <f aca="false">AVERAGE(AA10,AD10,AG10,AJ10,AM10)</f>
        <v>0.6744</v>
      </c>
      <c r="AS10" s="2" t="s">
        <v>26</v>
      </c>
      <c r="AT10" s="9" t="n">
        <v>0.4899</v>
      </c>
      <c r="AU10" s="9" t="n">
        <v>0.4803</v>
      </c>
      <c r="AV10" s="9" t="n">
        <v>0.4988</v>
      </c>
      <c r="AW10" s="9" t="n">
        <v>0.4836</v>
      </c>
      <c r="AX10" s="9" t="n">
        <v>0.4752</v>
      </c>
      <c r="AY10" s="9" t="n">
        <v>0.5037</v>
      </c>
      <c r="BC10" s="4"/>
      <c r="BD10" s="2" t="s">
        <v>20</v>
      </c>
      <c r="BE10" s="2" t="s">
        <v>21</v>
      </c>
      <c r="BF10" s="2" t="s">
        <v>22</v>
      </c>
      <c r="BG10" s="2" t="s">
        <v>20</v>
      </c>
      <c r="BH10" s="2" t="s">
        <v>21</v>
      </c>
      <c r="BI10" s="2" t="s">
        <v>22</v>
      </c>
      <c r="BJ10" s="2" t="s">
        <v>21</v>
      </c>
      <c r="BN10" s="10" t="s">
        <v>28</v>
      </c>
      <c r="BO10" s="13" t="n">
        <v>0.8697</v>
      </c>
      <c r="BP10" s="13" t="n">
        <v>0.8718</v>
      </c>
      <c r="BQ10" s="13" t="n">
        <v>0.8697</v>
      </c>
      <c r="BR10" s="13" t="n">
        <v>0.8314</v>
      </c>
      <c r="BS10" s="13" t="n">
        <v>0.8525</v>
      </c>
      <c r="BT10" s="13" t="n">
        <v>0.8314</v>
      </c>
      <c r="BU10" s="11" t="n">
        <v>0.7833</v>
      </c>
      <c r="BV10" s="11" t="n">
        <v>0.78</v>
      </c>
      <c r="BW10" s="11" t="n">
        <v>0.7833</v>
      </c>
      <c r="BX10" s="13" t="n">
        <v>0.8265</v>
      </c>
      <c r="BY10" s="13" t="n">
        <v>0.876</v>
      </c>
      <c r="BZ10" s="13" t="n">
        <v>0.8265</v>
      </c>
      <c r="CA10" s="11" t="n">
        <v>0.8125</v>
      </c>
      <c r="CB10" s="11" t="n">
        <v>0.8138</v>
      </c>
      <c r="CC10" s="11" t="n">
        <v>0.8125</v>
      </c>
      <c r="CD10" s="12" t="n">
        <f aca="false">AVERAGE(BS10,BV10,BY10,CB10)</f>
        <v>0.830575</v>
      </c>
      <c r="CF10" s="7" t="s">
        <v>29</v>
      </c>
      <c r="CG10" s="8" t="n">
        <v>14510</v>
      </c>
      <c r="CH10" s="8" t="n">
        <v>212</v>
      </c>
      <c r="CI10" s="8" t="n">
        <v>169</v>
      </c>
    </row>
    <row r="11" customFormat="false" ht="18" hidden="false" customHeight="true" outlineLevel="0" collapsed="false">
      <c r="B11" s="2" t="s">
        <v>30</v>
      </c>
      <c r="C11" s="9" t="n">
        <v>0.8964</v>
      </c>
      <c r="D11" s="9" t="n">
        <v>0.6637</v>
      </c>
      <c r="E11" s="9" t="n">
        <v>0.8117</v>
      </c>
      <c r="F11" s="9" t="n">
        <v>0.9791</v>
      </c>
      <c r="G11" s="9" t="n">
        <v>0.8562</v>
      </c>
      <c r="H11" s="9" t="n">
        <v>0.6876</v>
      </c>
      <c r="I11" s="9" t="n">
        <v>0.9786</v>
      </c>
      <c r="J11" s="9" t="n">
        <v>0.8563</v>
      </c>
      <c r="K11" s="9" t="n">
        <v>0.7055</v>
      </c>
      <c r="O11" s="2" t="s">
        <v>30</v>
      </c>
      <c r="P11" s="9" t="n">
        <v>0.9312</v>
      </c>
      <c r="Q11" s="9" t="n">
        <v>0.7533</v>
      </c>
      <c r="R11" s="9" t="n">
        <v>1</v>
      </c>
      <c r="S11" s="9" t="n">
        <v>0.9856</v>
      </c>
      <c r="T11" s="9" t="n">
        <v>0.9217</v>
      </c>
      <c r="U11" s="9" t="n">
        <v>1</v>
      </c>
      <c r="Y11" s="14" t="s">
        <v>31</v>
      </c>
      <c r="Z11" s="15" t="n">
        <f aca="false">F10</f>
        <v>0.9764</v>
      </c>
      <c r="AA11" s="15" t="n">
        <f aca="false">G10</f>
        <v>0.8359</v>
      </c>
      <c r="AB11" s="15" t="n">
        <f aca="false">H10</f>
        <v>0.642</v>
      </c>
      <c r="AC11" s="16" t="n">
        <f aca="false">F29</f>
        <v>0.9781</v>
      </c>
      <c r="AD11" s="16" t="n">
        <f aca="false">G29</f>
        <v>0.9439</v>
      </c>
      <c r="AE11" s="16" t="n">
        <f aca="false">H29</f>
        <v>0.8266</v>
      </c>
      <c r="AF11" s="15" t="n">
        <f aca="false">F47</f>
        <v>0.9889</v>
      </c>
      <c r="AG11" s="15" t="n">
        <f aca="false">G47</f>
        <v>0.9373</v>
      </c>
      <c r="AH11" s="15" t="n">
        <f aca="false">H47</f>
        <v>1</v>
      </c>
      <c r="AI11" s="16" t="n">
        <f aca="false">F65</f>
        <v>0.8268</v>
      </c>
      <c r="AJ11" s="16" t="n">
        <f aca="false">G65</f>
        <v>0.4683</v>
      </c>
      <c r="AK11" s="16" t="n">
        <f aca="false">H65</f>
        <v>0.0219</v>
      </c>
      <c r="AL11" s="17" t="n">
        <f aca="false">F83</f>
        <v>0.5154</v>
      </c>
      <c r="AM11" s="17" t="n">
        <f aca="false">G83</f>
        <v>0.4143</v>
      </c>
      <c r="AN11" s="17" t="n">
        <f aca="false">H83</f>
        <v>0.5102</v>
      </c>
      <c r="AO11" s="18" t="n">
        <f aca="false">AVERAGE(AA11,AD11,AG11,AJ11,AM11)</f>
        <v>0.71994</v>
      </c>
      <c r="AS11" s="2" t="s">
        <v>30</v>
      </c>
      <c r="AT11" s="9" t="n">
        <v>0.5869</v>
      </c>
      <c r="AU11" s="9" t="n">
        <v>0.5258</v>
      </c>
      <c r="AV11" s="9" t="n">
        <v>0.3216</v>
      </c>
      <c r="AW11" s="9" t="n">
        <v>0.6438</v>
      </c>
      <c r="AX11" s="9" t="n">
        <v>0.4024</v>
      </c>
      <c r="AY11" s="9" t="n">
        <v>0.0116</v>
      </c>
      <c r="BC11" s="14" t="s">
        <v>31</v>
      </c>
      <c r="BD11" s="13" t="n">
        <f aca="false">AT10</f>
        <v>0.4899</v>
      </c>
      <c r="BE11" s="13" t="n">
        <f aca="false">AU10</f>
        <v>0.4803</v>
      </c>
      <c r="BF11" s="13" t="n">
        <f aca="false">AV10</f>
        <v>0.4988</v>
      </c>
      <c r="BG11" s="15" t="n">
        <f aca="false">AT29</f>
        <v>0.3544</v>
      </c>
      <c r="BH11" s="15" t="n">
        <f aca="false">AU29</f>
        <v>0.2617</v>
      </c>
      <c r="BI11" s="15" t="n">
        <f aca="false">AV29</f>
        <v>1</v>
      </c>
      <c r="BJ11" s="18" t="n">
        <f aca="false">AVERAGE(BE11,BH11)</f>
        <v>0.371</v>
      </c>
      <c r="BN11" s="14" t="s">
        <v>32</v>
      </c>
      <c r="BO11" s="13" t="n">
        <v>0.0339</v>
      </c>
      <c r="BP11" s="13" t="n">
        <v>0.0172</v>
      </c>
      <c r="BQ11" s="13" t="n">
        <v>0.0339</v>
      </c>
      <c r="BR11" s="13" t="n">
        <v>0.4379</v>
      </c>
      <c r="BS11" s="13" t="n">
        <v>0.4388</v>
      </c>
      <c r="BT11" s="13" t="n">
        <v>0.4379</v>
      </c>
      <c r="BU11" s="15" t="n">
        <v>0.4362</v>
      </c>
      <c r="BV11" s="15" t="n">
        <v>0.4568</v>
      </c>
      <c r="BW11" s="15" t="n">
        <v>0.4362</v>
      </c>
      <c r="BX11" s="13" t="n">
        <v>0.8421</v>
      </c>
      <c r="BY11" s="13" t="n">
        <v>0.8824</v>
      </c>
      <c r="BZ11" s="13" t="n">
        <v>0.8421</v>
      </c>
      <c r="CA11" s="15" t="n">
        <v>0.7322</v>
      </c>
      <c r="CB11" s="15" t="n">
        <v>0.7357</v>
      </c>
      <c r="CC11" s="15" t="n">
        <v>0.7322</v>
      </c>
      <c r="CD11" s="18" t="n">
        <f aca="false">AVERAGE(BS11,BV11,BY11,CB11)</f>
        <v>0.628425</v>
      </c>
      <c r="CF11" s="7" t="s">
        <v>33</v>
      </c>
      <c r="CG11" s="8" t="n">
        <v>8403</v>
      </c>
      <c r="CH11" s="8" t="n">
        <v>93</v>
      </c>
      <c r="CI11" s="8" t="n">
        <v>56</v>
      </c>
    </row>
    <row r="12" customFormat="false" ht="18" hidden="false" customHeight="true" outlineLevel="0" collapsed="false">
      <c r="B12" s="2" t="s">
        <v>34</v>
      </c>
      <c r="C12" s="9" t="n">
        <v>0.9412</v>
      </c>
      <c r="D12" s="9" t="n">
        <v>0.6848</v>
      </c>
      <c r="E12" s="9" t="n">
        <v>0.4937</v>
      </c>
      <c r="F12" s="9" t="n">
        <v>0.977</v>
      </c>
      <c r="G12" s="9" t="n">
        <v>0.8417</v>
      </c>
      <c r="H12" s="9" t="n">
        <v>0.6597</v>
      </c>
      <c r="I12" s="9" t="n">
        <v>0.962</v>
      </c>
      <c r="J12" s="9" t="n">
        <v>0.8284</v>
      </c>
      <c r="K12" s="9" t="n">
        <v>1</v>
      </c>
      <c r="O12" s="2" t="s">
        <v>34</v>
      </c>
      <c r="P12" s="9" t="n">
        <v>0.8644</v>
      </c>
      <c r="Q12" s="9" t="n">
        <v>0.6504</v>
      </c>
      <c r="R12" s="9" t="n">
        <v>1</v>
      </c>
      <c r="S12" s="9" t="n">
        <v>0.9606</v>
      </c>
      <c r="T12" s="9" t="n">
        <v>0.8272</v>
      </c>
      <c r="U12" s="9" t="n">
        <v>1</v>
      </c>
      <c r="Y12" s="19" t="s">
        <v>35</v>
      </c>
      <c r="Z12" s="20" t="n">
        <f aca="false">I10</f>
        <v>0.9762</v>
      </c>
      <c r="AA12" s="20" t="n">
        <f aca="false">J10</f>
        <v>0.8311</v>
      </c>
      <c r="AB12" s="20" t="n">
        <f aca="false">K10</f>
        <v>0.6201</v>
      </c>
      <c r="AC12" s="21" t="n">
        <f aca="false">I29</f>
        <v>0.9781</v>
      </c>
      <c r="AD12" s="21" t="n">
        <f aca="false">J29</f>
        <v>0.944</v>
      </c>
      <c r="AE12" s="21" t="n">
        <f aca="false">K29</f>
        <v>0.8268</v>
      </c>
      <c r="AF12" s="20" t="n">
        <f aca="false">I47</f>
        <v>0.9987</v>
      </c>
      <c r="AG12" s="20" t="n">
        <f aca="false">J47</f>
        <v>0.9916</v>
      </c>
      <c r="AH12" s="21" t="n">
        <f aca="false">K47</f>
        <v>1</v>
      </c>
      <c r="AI12" s="21" t="n">
        <f aca="false">I65</f>
        <v>0.8379</v>
      </c>
      <c r="AJ12" s="21" t="n">
        <f aca="false">J65</f>
        <v>0.4858</v>
      </c>
      <c r="AK12" s="20" t="n">
        <f aca="false">K65</f>
        <v>0.0401</v>
      </c>
      <c r="AL12" s="17" t="n">
        <f aca="false">I83</f>
        <v>0.7471</v>
      </c>
      <c r="AM12" s="17" t="n">
        <f aca="false">J83</f>
        <v>0.4834</v>
      </c>
      <c r="AN12" s="17" t="n">
        <f aca="false">K83</f>
        <v>0.4879</v>
      </c>
      <c r="AO12" s="18" t="n">
        <f aca="false">AVERAGE(AA12,AD12,AG12,AJ12,AM12)</f>
        <v>0.74718</v>
      </c>
      <c r="AS12" s="2" t="s">
        <v>34</v>
      </c>
      <c r="AT12" s="9" t="n">
        <v>0.4899</v>
      </c>
      <c r="AU12" s="9" t="n">
        <v>0.4803</v>
      </c>
      <c r="AV12" s="9" t="n">
        <v>0.4988</v>
      </c>
      <c r="AW12" s="9" t="n">
        <v>0.6983</v>
      </c>
      <c r="AX12" s="9" t="n">
        <v>0.6156</v>
      </c>
      <c r="AY12" s="9" t="n">
        <v>0.3307</v>
      </c>
      <c r="BC12" s="19" t="s">
        <v>35</v>
      </c>
      <c r="BD12" s="21" t="n">
        <f aca="false">AW10</f>
        <v>0.4836</v>
      </c>
      <c r="BE12" s="21" t="n">
        <f aca="false">AX10</f>
        <v>0.4752</v>
      </c>
      <c r="BF12" s="21" t="n">
        <f aca="false">AY10</f>
        <v>0.5037</v>
      </c>
      <c r="BG12" s="21" t="n">
        <f aca="false">AW29</f>
        <v>0.6377</v>
      </c>
      <c r="BH12" s="21" t="n">
        <f aca="false">AX29</f>
        <v>0.3987</v>
      </c>
      <c r="BI12" s="21" t="n">
        <f aca="false">AY29</f>
        <v>0.0103</v>
      </c>
      <c r="BJ12" s="18" t="n">
        <f aca="false">AVERAGE(BE12,BH12)</f>
        <v>0.43695</v>
      </c>
      <c r="BN12" s="19" t="s">
        <v>36</v>
      </c>
      <c r="BO12" s="13" t="n">
        <v>0.8276</v>
      </c>
      <c r="BP12" s="13" t="n">
        <v>0.8319</v>
      </c>
      <c r="BQ12" s="13" t="n">
        <v>0.8276</v>
      </c>
      <c r="BR12" s="13" t="n">
        <v>0.7713</v>
      </c>
      <c r="BS12" s="13" t="n">
        <v>0.7907</v>
      </c>
      <c r="BT12" s="13" t="n">
        <v>0.7713</v>
      </c>
      <c r="BU12" s="21" t="n">
        <v>0.7951</v>
      </c>
      <c r="BV12" s="21" t="n">
        <v>0.7792</v>
      </c>
      <c r="BW12" s="21" t="n">
        <v>0.7951</v>
      </c>
      <c r="BX12" s="13" t="n">
        <v>0.9523</v>
      </c>
      <c r="BY12" s="13" t="n">
        <v>0.955</v>
      </c>
      <c r="BZ12" s="13" t="n">
        <v>0.9523</v>
      </c>
      <c r="CA12" s="21" t="n">
        <v>0.8703</v>
      </c>
      <c r="CB12" s="21" t="n">
        <v>0.8619</v>
      </c>
      <c r="CC12" s="21" t="n">
        <v>0.8703</v>
      </c>
      <c r="CD12" s="18" t="n">
        <f aca="false">AVERAGE(BS12,BV12,BY12,CB12)</f>
        <v>0.8467</v>
      </c>
      <c r="CF12" s="0" t="s">
        <v>37</v>
      </c>
      <c r="CG12" s="0" t="n">
        <v>0</v>
      </c>
      <c r="CH12" s="8" t="n">
        <v>108529</v>
      </c>
      <c r="CI12" s="8" t="n">
        <v>102984</v>
      </c>
    </row>
    <row r="13" customFormat="false" ht="18" hidden="false" customHeight="true" outlineLevel="0" collapsed="false">
      <c r="B13" s="2" t="s">
        <v>38</v>
      </c>
      <c r="C13" s="9" t="n">
        <v>0.9447</v>
      </c>
      <c r="D13" s="9" t="n">
        <v>0.7134</v>
      </c>
      <c r="E13" s="9" t="n">
        <v>0.5824</v>
      </c>
      <c r="F13" s="9" t="n">
        <v>0.9818</v>
      </c>
      <c r="G13" s="9" t="n">
        <v>0.8845</v>
      </c>
      <c r="H13" s="9" t="n">
        <v>0.8036</v>
      </c>
      <c r="I13" s="9" t="n">
        <v>0.984</v>
      </c>
      <c r="J13" s="9" t="n">
        <v>0.9024</v>
      </c>
      <c r="K13" s="9" t="n">
        <v>0.8736</v>
      </c>
      <c r="O13" s="2" t="s">
        <v>38</v>
      </c>
      <c r="P13" s="9" t="n">
        <v>0.9081</v>
      </c>
      <c r="Q13" s="9" t="n">
        <v>0.7106</v>
      </c>
      <c r="R13" s="9" t="n">
        <v>1</v>
      </c>
      <c r="S13" s="9" t="n">
        <v>0.9987</v>
      </c>
      <c r="T13" s="9" t="n">
        <v>0.9916</v>
      </c>
      <c r="U13" s="9" t="n">
        <v>1</v>
      </c>
      <c r="Y13" s="10" t="s">
        <v>39</v>
      </c>
      <c r="Z13" s="22" t="n">
        <f aca="false">C11</f>
        <v>0.8964</v>
      </c>
      <c r="AA13" s="22" t="n">
        <f aca="false">D11</f>
        <v>0.6637</v>
      </c>
      <c r="AB13" s="22" t="n">
        <f aca="false">E11</f>
        <v>0.8117</v>
      </c>
      <c r="AC13" s="22" t="n">
        <f aca="false">C30</f>
        <v>0.9275</v>
      </c>
      <c r="AD13" s="22" t="n">
        <f aca="false">D30</f>
        <v>0.8271</v>
      </c>
      <c r="AE13" s="22" t="n">
        <f aca="false">E30</f>
        <v>0.6917</v>
      </c>
      <c r="AF13" s="22" t="n">
        <f aca="false">F48</f>
        <v>0.999</v>
      </c>
      <c r="AG13" s="22" t="n">
        <f aca="false">G48</f>
        <v>0.9938</v>
      </c>
      <c r="AH13" s="22" t="n">
        <f aca="false">H48</f>
        <v>1</v>
      </c>
      <c r="AI13" s="22" t="n">
        <f aca="false">C66</f>
        <v>0.8154</v>
      </c>
      <c r="AJ13" s="11" t="n">
        <f aca="false">D66</f>
        <v>0.5775</v>
      </c>
      <c r="AK13" s="11" t="n">
        <f aca="false">E66</f>
        <v>0.2512</v>
      </c>
      <c r="AL13" s="22" t="n">
        <f aca="false">C84</f>
        <v>0.8929</v>
      </c>
      <c r="AM13" s="11" t="n">
        <f aca="false">D84</f>
        <v>0.4787</v>
      </c>
      <c r="AN13" s="11" t="n">
        <f aca="false">E84</f>
        <v>0.499</v>
      </c>
      <c r="AO13" s="12" t="n">
        <f aca="false">AVERAGE(AA13,AD13,AG13,AJ13,AM13)</f>
        <v>0.70816</v>
      </c>
      <c r="AS13" s="2" t="s">
        <v>38</v>
      </c>
      <c r="AT13" s="9" t="n">
        <v>0.5681</v>
      </c>
      <c r="AU13" s="9" t="n">
        <v>0.4904</v>
      </c>
      <c r="AV13" s="9" t="n">
        <v>0.2504</v>
      </c>
      <c r="AW13" s="9" t="n">
        <v>0.5084</v>
      </c>
      <c r="AX13" s="9" t="n">
        <v>0.4888</v>
      </c>
      <c r="AY13" s="9" t="n">
        <v>0.4412</v>
      </c>
      <c r="BC13" s="14" t="s">
        <v>40</v>
      </c>
      <c r="BD13" s="15" t="n">
        <f aca="false">AT11</f>
        <v>0.5869</v>
      </c>
      <c r="BE13" s="15" t="n">
        <f aca="false">AU11</f>
        <v>0.5258</v>
      </c>
      <c r="BF13" s="15" t="n">
        <f aca="false">AV11</f>
        <v>0.3216</v>
      </c>
      <c r="BG13" s="15" t="n">
        <f aca="false">AT30</f>
        <v>0.5681</v>
      </c>
      <c r="BH13" s="15" t="n">
        <f aca="false">AU30</f>
        <v>0.4904</v>
      </c>
      <c r="BI13" s="15" t="n">
        <f aca="false">AV30</f>
        <v>0.2504</v>
      </c>
      <c r="BJ13" s="12" t="n">
        <f aca="false">AVERAGE(BE13,BH13)</f>
        <v>0.5081</v>
      </c>
      <c r="BN13" s="10" t="s">
        <v>41</v>
      </c>
      <c r="BO13" s="11" t="n">
        <v>0.8773</v>
      </c>
      <c r="BP13" s="11" t="n">
        <v>0.8805</v>
      </c>
      <c r="BQ13" s="11" t="n">
        <v>0.8773</v>
      </c>
      <c r="BR13" s="11" t="n">
        <v>0.8497</v>
      </c>
      <c r="BS13" s="11" t="n">
        <v>0.8711</v>
      </c>
      <c r="BT13" s="11" t="n">
        <v>0.8497</v>
      </c>
      <c r="BU13" s="11" t="n">
        <v>0.7616</v>
      </c>
      <c r="BV13" s="11" t="n">
        <v>0.7692</v>
      </c>
      <c r="BW13" s="11" t="n">
        <v>0.7616</v>
      </c>
      <c r="BX13" s="11" t="n">
        <v>0.8605</v>
      </c>
      <c r="BY13" s="11" t="n">
        <v>0.9003</v>
      </c>
      <c r="BZ13" s="11" t="n">
        <v>0.8605</v>
      </c>
      <c r="CA13" s="11" t="n">
        <v>0.8661</v>
      </c>
      <c r="CB13" s="11" t="n">
        <v>0.8756</v>
      </c>
      <c r="CC13" s="11" t="n">
        <v>0.8661</v>
      </c>
      <c r="CD13" s="12" t="n">
        <f aca="false">AVERAGE(BS13,BV13,BY13,CB13)</f>
        <v>0.85405</v>
      </c>
      <c r="CF13" s="8" t="s">
        <v>42</v>
      </c>
      <c r="CG13" s="0" t="n">
        <v>0</v>
      </c>
      <c r="CH13" s="8" t="n">
        <v>195</v>
      </c>
      <c r="CI13" s="8" t="n">
        <v>313</v>
      </c>
    </row>
    <row r="14" customFormat="false" ht="18" hidden="false" customHeight="true" outlineLevel="0" collapsed="false">
      <c r="Y14" s="14" t="s">
        <v>40</v>
      </c>
      <c r="Z14" s="16" t="n">
        <f aca="false">F11</f>
        <v>0.9791</v>
      </c>
      <c r="AA14" s="16" t="n">
        <f aca="false">G11</f>
        <v>0.8562</v>
      </c>
      <c r="AB14" s="16" t="n">
        <f aca="false">H11</f>
        <v>0.6876</v>
      </c>
      <c r="AC14" s="15" t="n">
        <f aca="false">F30</f>
        <v>0.9782</v>
      </c>
      <c r="AD14" s="15" t="n">
        <f aca="false">G30</f>
        <v>0.9443</v>
      </c>
      <c r="AE14" s="15" t="n">
        <f aca="false">H30</f>
        <v>0.8266</v>
      </c>
      <c r="AF14" s="15" t="n">
        <f aca="false">F48</f>
        <v>0.999</v>
      </c>
      <c r="AG14" s="15" t="n">
        <f aca="false">G48</f>
        <v>0.9938</v>
      </c>
      <c r="AH14" s="15" t="n">
        <f aca="false">H48</f>
        <v>1</v>
      </c>
      <c r="AI14" s="16" t="n">
        <f aca="false">F66</f>
        <v>0.8371</v>
      </c>
      <c r="AJ14" s="16" t="n">
        <f aca="false">G66</f>
        <v>0.4861</v>
      </c>
      <c r="AK14" s="16" t="n">
        <f aca="false">H66</f>
        <v>0.0411</v>
      </c>
      <c r="AL14" s="17" t="n">
        <f aca="false">F84</f>
        <v>0.8118</v>
      </c>
      <c r="AM14" s="17" t="n">
        <f aca="false">G84</f>
        <v>0.4925</v>
      </c>
      <c r="AN14" s="17" t="n">
        <f aca="false">H84</f>
        <v>0.4923</v>
      </c>
      <c r="AO14" s="18" t="n">
        <f aca="false">AVERAGE(AA14,AD14,AG14,AJ14,AM14)</f>
        <v>0.75458</v>
      </c>
      <c r="BC14" s="19" t="s">
        <v>43</v>
      </c>
      <c r="BD14" s="21" t="n">
        <f aca="false">AW11</f>
        <v>0.6438</v>
      </c>
      <c r="BE14" s="21" t="n">
        <f aca="false">AX11</f>
        <v>0.4024</v>
      </c>
      <c r="BF14" s="21" t="n">
        <f aca="false">AY11</f>
        <v>0.0116</v>
      </c>
      <c r="BG14" s="21" t="n">
        <f aca="false">AW30</f>
        <v>0.641</v>
      </c>
      <c r="BH14" s="21" t="n">
        <f aca="false">AX30</f>
        <v>0.4016</v>
      </c>
      <c r="BI14" s="21" t="n">
        <f aca="false">AY30</f>
        <v>0.012</v>
      </c>
      <c r="BJ14" s="23" t="n">
        <f aca="false">AVERAGE(BE14,BH14)</f>
        <v>0.402</v>
      </c>
      <c r="BN14" s="14" t="s">
        <v>44</v>
      </c>
      <c r="BO14" s="15" t="n">
        <v>0.1239</v>
      </c>
      <c r="BP14" s="15" t="n">
        <v>0.0704</v>
      </c>
      <c r="BQ14" s="15" t="n">
        <v>0.1239</v>
      </c>
      <c r="BR14" s="15" t="n">
        <v>0.4342</v>
      </c>
      <c r="BS14" s="15" t="n">
        <v>0.436</v>
      </c>
      <c r="BT14" s="15" t="n">
        <v>0.4342</v>
      </c>
      <c r="BU14" s="15" t="n">
        <v>0.4498</v>
      </c>
      <c r="BV14" s="15" t="n">
        <v>0.4574</v>
      </c>
      <c r="BW14" s="15" t="n">
        <v>0.4498</v>
      </c>
      <c r="BX14" s="15" t="n">
        <v>0.8125</v>
      </c>
      <c r="BY14" s="15" t="n">
        <v>0.8401</v>
      </c>
      <c r="BZ14" s="15" t="n">
        <v>0.8125</v>
      </c>
      <c r="CA14" s="15" t="n">
        <v>0.7249</v>
      </c>
      <c r="CB14" s="15" t="n">
        <v>0.746</v>
      </c>
      <c r="CC14" s="15" t="n">
        <v>0.7249</v>
      </c>
      <c r="CD14" s="18" t="n">
        <f aca="false">AVERAGE(BS14,BV14,BY14,CB14)</f>
        <v>0.619875</v>
      </c>
      <c r="CF14" s="8" t="s">
        <v>45</v>
      </c>
      <c r="CG14" s="0" t="n">
        <v>0</v>
      </c>
      <c r="CH14" s="8" t="n">
        <v>30541</v>
      </c>
      <c r="CI14" s="8" t="n">
        <v>28935</v>
      </c>
    </row>
    <row r="15" customFormat="false" ht="18" hidden="false" customHeight="true" outlineLevel="0" collapsed="false">
      <c r="E15" s="0" t="s">
        <v>46</v>
      </c>
      <c r="O15" s="0" t="s">
        <v>47</v>
      </c>
      <c r="Y15" s="19" t="s">
        <v>43</v>
      </c>
      <c r="Z15" s="21" t="n">
        <f aca="false">I11</f>
        <v>0.9786</v>
      </c>
      <c r="AA15" s="21" t="n">
        <f aca="false">J11</f>
        <v>0.8563</v>
      </c>
      <c r="AB15" s="21" t="n">
        <f aca="false">K11</f>
        <v>0.7055</v>
      </c>
      <c r="AC15" s="21" t="n">
        <f aca="false">I30</f>
        <v>0.9781</v>
      </c>
      <c r="AD15" s="21" t="n">
        <f aca="false">J30</f>
        <v>0.9439</v>
      </c>
      <c r="AE15" s="21" t="n">
        <f aca="false">K30</f>
        <v>0.8264</v>
      </c>
      <c r="AF15" s="21" t="n">
        <f aca="false">I48</f>
        <v>0.9989</v>
      </c>
      <c r="AG15" s="21" t="n">
        <f aca="false">J48</f>
        <v>0.9929</v>
      </c>
      <c r="AH15" s="21" t="n">
        <f aca="false">K48</f>
        <v>1</v>
      </c>
      <c r="AI15" s="21" t="n">
        <f aca="false">I66</f>
        <v>0.839</v>
      </c>
      <c r="AJ15" s="21" t="n">
        <f aca="false">J66</f>
        <v>0.4869</v>
      </c>
      <c r="AK15" s="21" t="n">
        <f aca="false">K66</f>
        <v>0.041</v>
      </c>
      <c r="AL15" s="17" t="n">
        <f aca="false">I84</f>
        <v>0.893</v>
      </c>
      <c r="AM15" s="17" t="n">
        <f aca="false">J84</f>
        <v>0.4802</v>
      </c>
      <c r="AN15" s="17" t="n">
        <f aca="false">K84</f>
        <v>0.4998</v>
      </c>
      <c r="AO15" s="18" t="n">
        <f aca="false">AVERAGE(AA15,AD15,AG15,AJ15,AM15)</f>
        <v>0.75204</v>
      </c>
      <c r="AR15" s="0" t="s">
        <v>48</v>
      </c>
      <c r="BC15" s="14" t="s">
        <v>49</v>
      </c>
      <c r="BD15" s="15" t="n">
        <f aca="false">AT12</f>
        <v>0.4899</v>
      </c>
      <c r="BE15" s="15" t="n">
        <f aca="false">AU12</f>
        <v>0.4803</v>
      </c>
      <c r="BF15" s="15" t="n">
        <f aca="false">AV12</f>
        <v>0.4988</v>
      </c>
      <c r="BG15" s="15" t="n">
        <f aca="false">AT31</f>
        <v>0.3544</v>
      </c>
      <c r="BH15" s="15" t="n">
        <f aca="false">AU31</f>
        <v>0.2617</v>
      </c>
      <c r="BI15" s="15" t="n">
        <f aca="false">AV31</f>
        <v>1</v>
      </c>
      <c r="BJ15" s="18" t="n">
        <f aca="false">AVERAGE(BE15,BH15)</f>
        <v>0.371</v>
      </c>
      <c r="BN15" s="19" t="s">
        <v>50</v>
      </c>
      <c r="BO15" s="21" t="n">
        <v>0.8344</v>
      </c>
      <c r="BP15" s="21" t="n">
        <v>0.8174</v>
      </c>
      <c r="BQ15" s="21" t="n">
        <v>0.8402</v>
      </c>
      <c r="BR15" s="21" t="n">
        <v>0.8481</v>
      </c>
      <c r="BS15" s="21" t="n">
        <v>0.8645</v>
      </c>
      <c r="BT15" s="21" t="n">
        <v>0.8481</v>
      </c>
      <c r="BU15" s="21" t="n">
        <v>0.7894</v>
      </c>
      <c r="BV15" s="21" t="n">
        <v>0.7866</v>
      </c>
      <c r="BW15" s="21" t="n">
        <v>0.7894</v>
      </c>
      <c r="BX15" s="21" t="n">
        <v>0.9227</v>
      </c>
      <c r="BY15" s="21" t="n">
        <v>0.9213</v>
      </c>
      <c r="BZ15" s="21" t="n">
        <v>0.9227</v>
      </c>
      <c r="CA15" s="21" t="n">
        <v>0.871</v>
      </c>
      <c r="CB15" s="21" t="n">
        <v>0.8575</v>
      </c>
      <c r="CC15" s="21" t="n">
        <v>0.8701</v>
      </c>
      <c r="CD15" s="18" t="n">
        <f aca="false">AVERAGE(BS15,BV15,BY15,CB15)</f>
        <v>0.857475</v>
      </c>
      <c r="CF15" s="7" t="s">
        <v>51</v>
      </c>
      <c r="CG15" s="8" t="n">
        <v>49023</v>
      </c>
      <c r="CH15" s="8" t="n">
        <v>2781</v>
      </c>
      <c r="CI15" s="8" t="n">
        <v>6053</v>
      </c>
    </row>
    <row r="16" customFormat="false" ht="18" hidden="false" customHeight="true" outlineLevel="0" collapsed="false">
      <c r="Y16" s="10" t="s">
        <v>52</v>
      </c>
      <c r="Z16" s="11" t="n">
        <f aca="false">C12</f>
        <v>0.9412</v>
      </c>
      <c r="AA16" s="11" t="n">
        <f aca="false">D12</f>
        <v>0.6848</v>
      </c>
      <c r="AB16" s="11" t="n">
        <f aca="false">E12</f>
        <v>0.4937</v>
      </c>
      <c r="AC16" s="11" t="n">
        <f aca="false">C31</f>
        <v>0.9441</v>
      </c>
      <c r="AD16" s="11" t="n">
        <f aca="false">D31</f>
        <v>0.8738</v>
      </c>
      <c r="AE16" s="11" t="n">
        <f aca="false">E31</f>
        <v>0.8269</v>
      </c>
      <c r="AF16" s="11" t="n">
        <f aca="false">C49</f>
        <v>0.9477</v>
      </c>
      <c r="AG16" s="11" t="n">
        <f aca="false">D49</f>
        <v>0.7472</v>
      </c>
      <c r="AH16" s="11" t="n">
        <f aca="false">E49</f>
        <v>0.6962</v>
      </c>
      <c r="AI16" s="11" t="n">
        <f aca="false">C67</f>
        <v>0.8525</v>
      </c>
      <c r="AJ16" s="11" t="n">
        <f aca="false">D67</f>
        <v>0.7033</v>
      </c>
      <c r="AK16" s="11" t="n">
        <f aca="false">E67</f>
        <v>0.5549</v>
      </c>
      <c r="AL16" s="22" t="n">
        <f aca="false">C85</f>
        <v>0.759</v>
      </c>
      <c r="AM16" s="11" t="n">
        <f aca="false">D85</f>
        <v>0.5468</v>
      </c>
      <c r="AN16" s="11" t="n">
        <f aca="false">E85</f>
        <v>0.589</v>
      </c>
      <c r="AO16" s="12" t="n">
        <f aca="false">AVERAGE(AA16,AD16,AG16,AJ16,AM16)</f>
        <v>0.71118</v>
      </c>
      <c r="BC16" s="19" t="s">
        <v>53</v>
      </c>
      <c r="BD16" s="21" t="n">
        <f aca="false">AW12</f>
        <v>0.6983</v>
      </c>
      <c r="BE16" s="21" t="n">
        <f aca="false">AX12</f>
        <v>0.6156</v>
      </c>
      <c r="BF16" s="21" t="n">
        <f aca="false">AY12</f>
        <v>0.3307</v>
      </c>
      <c r="BG16" s="21" t="n">
        <f aca="false">AW31</f>
        <v>0.6978</v>
      </c>
      <c r="BH16" s="21" t="n">
        <f aca="false">AX31</f>
        <v>0.6153</v>
      </c>
      <c r="BI16" s="21" t="n">
        <f aca="false">AY31</f>
        <v>0.3309</v>
      </c>
      <c r="BJ16" s="18" t="n">
        <f aca="false">AVERAGE(BE16,BH16)</f>
        <v>0.61545</v>
      </c>
      <c r="BN16" s="10" t="s">
        <v>54</v>
      </c>
      <c r="BO16" s="11" t="n">
        <v>0.8673</v>
      </c>
      <c r="BP16" s="11" t="n">
        <v>0.8704</v>
      </c>
      <c r="BQ16" s="11" t="n">
        <v>0.8673</v>
      </c>
      <c r="BR16" s="11" t="n">
        <v>0.8232</v>
      </c>
      <c r="BS16" s="11" t="n">
        <v>0.8478</v>
      </c>
      <c r="BT16" s="11" t="n">
        <v>0.8232</v>
      </c>
      <c r="BU16" s="11" t="n">
        <v>0.7328</v>
      </c>
      <c r="BV16" s="11" t="n">
        <v>0.7482</v>
      </c>
      <c r="BW16" s="11" t="n">
        <v>0.7328</v>
      </c>
      <c r="BX16" s="11" t="n">
        <v>0.8204</v>
      </c>
      <c r="BY16" s="11" t="n">
        <v>0.8748</v>
      </c>
      <c r="BZ16" s="11" t="n">
        <v>0.8204</v>
      </c>
      <c r="CA16" s="11" t="n">
        <v>0.8617</v>
      </c>
      <c r="CB16" s="11" t="n">
        <v>0.8723</v>
      </c>
      <c r="CC16" s="11" t="n">
        <v>0.8617</v>
      </c>
      <c r="CD16" s="12" t="n">
        <f aca="false">AVERAGE(BS16,BV16,BY16,CB16)</f>
        <v>0.835775</v>
      </c>
      <c r="CF16" s="7" t="s">
        <v>55</v>
      </c>
      <c r="CG16" s="8" t="n">
        <v>28674</v>
      </c>
      <c r="CH16" s="8" t="n">
        <v>43346</v>
      </c>
      <c r="CI16" s="8" t="n">
        <v>9818</v>
      </c>
    </row>
    <row r="17" customFormat="false" ht="18" hidden="false" customHeight="true" outlineLevel="0" collapsed="false">
      <c r="B17" s="2"/>
      <c r="C17" s="3" t="s">
        <v>8</v>
      </c>
      <c r="D17" s="3"/>
      <c r="E17" s="3"/>
      <c r="F17" s="3" t="s">
        <v>9</v>
      </c>
      <c r="G17" s="3"/>
      <c r="H17" s="3"/>
      <c r="I17" s="3" t="s">
        <v>10</v>
      </c>
      <c r="J17" s="3"/>
      <c r="K17" s="3"/>
      <c r="O17" s="2"/>
      <c r="P17" s="3" t="s">
        <v>9</v>
      </c>
      <c r="Q17" s="3"/>
      <c r="R17" s="3"/>
      <c r="S17" s="3" t="s">
        <v>10</v>
      </c>
      <c r="T17" s="3"/>
      <c r="U17" s="3"/>
      <c r="Y17" s="14" t="s">
        <v>49</v>
      </c>
      <c r="Z17" s="15" t="n">
        <f aca="false">F12</f>
        <v>0.977</v>
      </c>
      <c r="AA17" s="15" t="n">
        <f aca="false">G12</f>
        <v>0.8417</v>
      </c>
      <c r="AB17" s="16" t="n">
        <f aca="false">H12</f>
        <v>0.6597</v>
      </c>
      <c r="AC17" s="16" t="n">
        <f aca="false">F31</f>
        <v>0.9781</v>
      </c>
      <c r="AD17" s="16" t="n">
        <f aca="false">G31</f>
        <v>0.9439</v>
      </c>
      <c r="AE17" s="16" t="n">
        <f aca="false">H31</f>
        <v>0.8266</v>
      </c>
      <c r="AF17" s="16" t="n">
        <f aca="false">F49</f>
        <v>0.9889</v>
      </c>
      <c r="AG17" s="16" t="n">
        <f aca="false">G49</f>
        <v>0.9373</v>
      </c>
      <c r="AH17" s="15" t="n">
        <f aca="false">H49</f>
        <v>1</v>
      </c>
      <c r="AI17" s="16" t="n">
        <f aca="false">F67</f>
        <v>0.8385</v>
      </c>
      <c r="AJ17" s="16" t="n">
        <f aca="false">G67</f>
        <v>0.4853</v>
      </c>
      <c r="AK17" s="16" t="n">
        <f aca="false">H67</f>
        <v>0.039</v>
      </c>
      <c r="AL17" s="17" t="n">
        <f aca="false">F85</f>
        <v>0.7082</v>
      </c>
      <c r="AM17" s="17" t="n">
        <f aca="false">G85</f>
        <v>0.4854</v>
      </c>
      <c r="AN17" s="17" t="n">
        <f aca="false">H85</f>
        <v>0.5057</v>
      </c>
      <c r="AO17" s="18" t="n">
        <f aca="false">AVERAGE(AA17,AD17,AG17,AJ17,AM17)</f>
        <v>0.73872</v>
      </c>
      <c r="AS17" s="2"/>
      <c r="AT17" s="3" t="s">
        <v>9</v>
      </c>
      <c r="AU17" s="3"/>
      <c r="AV17" s="3"/>
      <c r="AW17" s="3" t="s">
        <v>10</v>
      </c>
      <c r="AX17" s="3"/>
      <c r="AY17" s="3"/>
      <c r="BC17" s="14" t="s">
        <v>56</v>
      </c>
      <c r="BD17" s="15" t="n">
        <f aca="false">AT13</f>
        <v>0.5681</v>
      </c>
      <c r="BE17" s="15" t="n">
        <f aca="false">AU13</f>
        <v>0.4904</v>
      </c>
      <c r="BF17" s="15" t="n">
        <f aca="false">AV13</f>
        <v>0.2504</v>
      </c>
      <c r="BG17" s="15" t="n">
        <f aca="false">AT32</f>
        <v>0.5247</v>
      </c>
      <c r="BH17" s="15" t="n">
        <f aca="false">AU32</f>
        <v>0.4829</v>
      </c>
      <c r="BI17" s="15" t="n">
        <f aca="false">AV32</f>
        <v>0.3391</v>
      </c>
      <c r="BJ17" s="12" t="n">
        <f aca="false">AVERAGE(BE17,BH17)</f>
        <v>0.48665</v>
      </c>
      <c r="BN17" s="14" t="s">
        <v>57</v>
      </c>
      <c r="BO17" s="15" t="n">
        <v>0.0957</v>
      </c>
      <c r="BP17" s="15" t="n">
        <v>0.0654</v>
      </c>
      <c r="BQ17" s="15" t="n">
        <v>0.0957</v>
      </c>
      <c r="BR17" s="15" t="n">
        <v>0.4225</v>
      </c>
      <c r="BS17" s="15" t="n">
        <v>0.4496</v>
      </c>
      <c r="BT17" s="15" t="n">
        <v>0.4225</v>
      </c>
      <c r="BU17" s="15" t="n">
        <v>0.4504</v>
      </c>
      <c r="BV17" s="15" t="n">
        <v>0.4728</v>
      </c>
      <c r="BW17" s="15" t="n">
        <v>0.4504</v>
      </c>
      <c r="BX17" s="15" t="n">
        <v>0.7916</v>
      </c>
      <c r="BY17" s="15" t="n">
        <v>0.8406</v>
      </c>
      <c r="BZ17" s="15" t="n">
        <v>0.7916</v>
      </c>
      <c r="CA17" s="15" t="n">
        <v>0.8042</v>
      </c>
      <c r="CB17" s="15" t="n">
        <v>0.8496</v>
      </c>
      <c r="CC17" s="15" t="n">
        <v>0.8042</v>
      </c>
      <c r="CD17" s="18" t="n">
        <f aca="false">AVERAGE(BS17,BV17,BY17,CB17)</f>
        <v>0.65315</v>
      </c>
      <c r="CF17" s="7" t="s">
        <v>58</v>
      </c>
      <c r="CG17" s="8" t="n">
        <v>17043</v>
      </c>
      <c r="CH17" s="8" t="n">
        <v>1425</v>
      </c>
      <c r="CI17" s="8" t="n">
        <v>10535</v>
      </c>
    </row>
    <row r="18" customFormat="false" ht="18" hidden="false" customHeight="true" outlineLevel="0" collapsed="false">
      <c r="B18" s="2"/>
      <c r="C18" s="2" t="s">
        <v>20</v>
      </c>
      <c r="D18" s="2" t="s">
        <v>21</v>
      </c>
      <c r="E18" s="2" t="s">
        <v>22</v>
      </c>
      <c r="F18" s="2" t="s">
        <v>20</v>
      </c>
      <c r="G18" s="2" t="s">
        <v>21</v>
      </c>
      <c r="H18" s="2" t="s">
        <v>22</v>
      </c>
      <c r="I18" s="2" t="s">
        <v>20</v>
      </c>
      <c r="J18" s="2" t="s">
        <v>21</v>
      </c>
      <c r="K18" s="2" t="s">
        <v>22</v>
      </c>
      <c r="O18" s="2"/>
      <c r="P18" s="2" t="s">
        <v>20</v>
      </c>
      <c r="Q18" s="2" t="s">
        <v>21</v>
      </c>
      <c r="R18" s="2" t="s">
        <v>22</v>
      </c>
      <c r="S18" s="2" t="s">
        <v>20</v>
      </c>
      <c r="T18" s="2" t="s">
        <v>21</v>
      </c>
      <c r="U18" s="2" t="s">
        <v>22</v>
      </c>
      <c r="Y18" s="19" t="s">
        <v>53</v>
      </c>
      <c r="Z18" s="20" t="n">
        <f aca="false">I12</f>
        <v>0.962</v>
      </c>
      <c r="AA18" s="20" t="n">
        <f aca="false">J12</f>
        <v>0.8284</v>
      </c>
      <c r="AB18" s="21" t="n">
        <f aca="false">K12</f>
        <v>1</v>
      </c>
      <c r="AC18" s="21" t="n">
        <f aca="false">I31</f>
        <v>0.976</v>
      </c>
      <c r="AD18" s="21" t="n">
        <f aca="false">J31</f>
        <v>0.9425</v>
      </c>
      <c r="AE18" s="21" t="n">
        <f aca="false">K31</f>
        <v>0.8866</v>
      </c>
      <c r="AF18" s="21" t="n">
        <f aca="false">I49</f>
        <v>0.9901</v>
      </c>
      <c r="AG18" s="21" t="n">
        <f aca="false">J49</f>
        <v>0.9436</v>
      </c>
      <c r="AH18" s="21" t="n">
        <f aca="false">K49</f>
        <v>1</v>
      </c>
      <c r="AI18" s="21" t="n">
        <f aca="false">I67</f>
        <v>0.8452</v>
      </c>
      <c r="AJ18" s="21" t="n">
        <f aca="false">J67</f>
        <v>0.6786</v>
      </c>
      <c r="AK18" s="20" t="n">
        <f aca="false">K67</f>
        <v>0.483</v>
      </c>
      <c r="AL18" s="17" t="n">
        <f aca="false">I85</f>
        <v>0.8915</v>
      </c>
      <c r="AM18" s="17" t="n">
        <f aca="false">J85</f>
        <v>0.6344</v>
      </c>
      <c r="AN18" s="17" t="n">
        <f aca="false">K85</f>
        <v>0.6135</v>
      </c>
      <c r="AO18" s="18" t="n">
        <f aca="false">AVERAGE(AA18,AD18,AG18,AJ18,AM18)</f>
        <v>0.8055</v>
      </c>
      <c r="AS18" s="2"/>
      <c r="AT18" s="2" t="s">
        <v>20</v>
      </c>
      <c r="AU18" s="2" t="s">
        <v>21</v>
      </c>
      <c r="AV18" s="2" t="s">
        <v>22</v>
      </c>
      <c r="AW18" s="2" t="s">
        <v>20</v>
      </c>
      <c r="AX18" s="2" t="s">
        <v>21</v>
      </c>
      <c r="AY18" s="2" t="s">
        <v>22</v>
      </c>
      <c r="BC18" s="19" t="s">
        <v>59</v>
      </c>
      <c r="BD18" s="21" t="n">
        <f aca="false">AW13</f>
        <v>0.5084</v>
      </c>
      <c r="BE18" s="21" t="n">
        <f aca="false">AX13</f>
        <v>0.4888</v>
      </c>
      <c r="BF18" s="21" t="n">
        <f aca="false">AY13</f>
        <v>0.4412</v>
      </c>
      <c r="BG18" s="21" t="n">
        <f aca="false">AW32</f>
        <v>0.4899</v>
      </c>
      <c r="BH18" s="21" t="n">
        <f aca="false">AX32</f>
        <v>0.4803</v>
      </c>
      <c r="BI18" s="21" t="n">
        <f aca="false">AY32</f>
        <v>0.499</v>
      </c>
      <c r="BJ18" s="23" t="n">
        <f aca="false">AVERAGE(BE18,BH18)</f>
        <v>0.48455</v>
      </c>
      <c r="BN18" s="19" t="s">
        <v>60</v>
      </c>
      <c r="BO18" s="21" t="n">
        <v>0.8055</v>
      </c>
      <c r="BP18" s="21" t="n">
        <v>0.8104</v>
      </c>
      <c r="BQ18" s="21" t="n">
        <v>0.8055</v>
      </c>
      <c r="BR18" s="21" t="n">
        <v>0.8175</v>
      </c>
      <c r="BS18" s="21" t="n">
        <v>0.8392</v>
      </c>
      <c r="BT18" s="21" t="n">
        <v>0.8175</v>
      </c>
      <c r="BU18" s="21" t="n">
        <v>0.7802</v>
      </c>
      <c r="BV18" s="21" t="n">
        <v>0.7803</v>
      </c>
      <c r="BW18" s="21" t="n">
        <v>0.7802</v>
      </c>
      <c r="BX18" s="21" t="n">
        <v>0.9622</v>
      </c>
      <c r="BY18" s="21" t="n">
        <v>0.9712</v>
      </c>
      <c r="BZ18" s="21" t="n">
        <v>0.9622</v>
      </c>
      <c r="CA18" s="21" t="n">
        <v>0.9129</v>
      </c>
      <c r="CB18" s="21" t="n">
        <v>0.9209</v>
      </c>
      <c r="CC18" s="21" t="n">
        <v>0.9129</v>
      </c>
      <c r="CD18" s="18" t="n">
        <f aca="false">AVERAGE(BS18,BV18,BY18,CB18)</f>
        <v>0.8779</v>
      </c>
      <c r="CF18" s="7" t="s">
        <v>61</v>
      </c>
      <c r="CG18" s="8" t="n">
        <v>25787</v>
      </c>
      <c r="CH18" s="8" t="n">
        <v>923</v>
      </c>
      <c r="CI18" s="8" t="n">
        <v>3607</v>
      </c>
    </row>
    <row r="19" customFormat="false" ht="18" hidden="false" customHeight="true" outlineLevel="0" collapsed="false">
      <c r="B19" s="2" t="s">
        <v>26</v>
      </c>
      <c r="C19" s="9" t="n">
        <v>0.9111</v>
      </c>
      <c r="D19" s="9" t="n">
        <v>0.6564</v>
      </c>
      <c r="E19" s="9" t="n">
        <v>0.6301</v>
      </c>
      <c r="F19" s="9" t="n">
        <v>0.9863</v>
      </c>
      <c r="G19" s="9" t="n">
        <v>0.9218</v>
      </c>
      <c r="H19" s="9" t="n">
        <v>0.9786</v>
      </c>
      <c r="I19" s="9" t="n">
        <v>0.9848</v>
      </c>
      <c r="J19" s="9" t="n">
        <v>0.911</v>
      </c>
      <c r="K19" s="9" t="n">
        <v>0.9329</v>
      </c>
      <c r="O19" s="2" t="s">
        <v>26</v>
      </c>
      <c r="P19" s="9" t="n">
        <v>0.9985</v>
      </c>
      <c r="Q19" s="9" t="n">
        <v>0.9907</v>
      </c>
      <c r="R19" s="9" t="n">
        <v>0.988</v>
      </c>
      <c r="S19" s="9" t="n">
        <v>0.9988</v>
      </c>
      <c r="T19" s="9" t="n">
        <v>0.9924</v>
      </c>
      <c r="U19" s="9" t="n">
        <v>0.9944</v>
      </c>
      <c r="Y19" s="10" t="s">
        <v>62</v>
      </c>
      <c r="Z19" s="22" t="n">
        <f aca="false">C13</f>
        <v>0.9447</v>
      </c>
      <c r="AA19" s="22" t="n">
        <f aca="false">D13</f>
        <v>0.7134</v>
      </c>
      <c r="AB19" s="22" t="n">
        <f aca="false">E13</f>
        <v>0.5824</v>
      </c>
      <c r="AC19" s="22" t="n">
        <f aca="false">C32</f>
        <v>0.9273</v>
      </c>
      <c r="AD19" s="22" t="n">
        <f aca="false">D32</f>
        <v>0.8268</v>
      </c>
      <c r="AE19" s="22" t="n">
        <f aca="false">E32</f>
        <v>0.6927</v>
      </c>
      <c r="AF19" s="22" t="n">
        <f aca="false">C50</f>
        <v>0.9772</v>
      </c>
      <c r="AG19" s="22" t="n">
        <f aca="false">D50</f>
        <v>0.8526</v>
      </c>
      <c r="AH19" s="22" t="n">
        <f aca="false">E50</f>
        <v>0.7063</v>
      </c>
      <c r="AI19" s="22" t="n">
        <f aca="false">C68</f>
        <v>0.7574</v>
      </c>
      <c r="AJ19" s="11" t="n">
        <f aca="false">D68</f>
        <v>0.5892</v>
      </c>
      <c r="AK19" s="11" t="n">
        <f aca="false">E68</f>
        <v>0.4545</v>
      </c>
      <c r="AL19" s="22" t="n">
        <f aca="false">C86</f>
        <v>0.773</v>
      </c>
      <c r="AM19" s="11" t="n">
        <f aca="false">D86</f>
        <v>0.4877</v>
      </c>
      <c r="AN19" s="11" t="n">
        <f aca="false">E86</f>
        <v>0.489</v>
      </c>
      <c r="AO19" s="12" t="n">
        <f aca="false">AVERAGE(AA19,AD19,AG19,AJ19,AM19)</f>
        <v>0.69394</v>
      </c>
      <c r="AS19" s="2" t="s">
        <v>26</v>
      </c>
      <c r="AT19" s="9" t="n">
        <v>0.4899</v>
      </c>
      <c r="AU19" s="9" t="n">
        <v>0.4803</v>
      </c>
      <c r="AV19" s="9" t="n">
        <v>0.4988</v>
      </c>
      <c r="AW19" s="9" t="n">
        <v>0.4651</v>
      </c>
      <c r="AX19" s="9" t="n">
        <v>0.4592</v>
      </c>
      <c r="AY19" s="9" t="n">
        <v>0.5088</v>
      </c>
      <c r="BC19" s="1"/>
      <c r="BD19" s="1"/>
      <c r="BE19" s="1"/>
      <c r="BF19" s="1"/>
      <c r="BG19" s="1"/>
      <c r="BH19" s="1"/>
      <c r="BI19" s="1"/>
      <c r="BJ19" s="1"/>
      <c r="BN19" s="10" t="s">
        <v>63</v>
      </c>
      <c r="BO19" s="11" t="n">
        <v>0.884</v>
      </c>
      <c r="BP19" s="11" t="n">
        <v>0.886</v>
      </c>
      <c r="BQ19" s="11" t="n">
        <v>0.884</v>
      </c>
      <c r="BR19" s="11" t="n">
        <v>0.8431</v>
      </c>
      <c r="BS19" s="11" t="n">
        <v>0.8631</v>
      </c>
      <c r="BT19" s="11" t="n">
        <v>0.8431</v>
      </c>
      <c r="BU19" s="11" t="n">
        <v>0.7685</v>
      </c>
      <c r="BV19" s="11" t="n">
        <v>0.7636</v>
      </c>
      <c r="BW19" s="11" t="n">
        <v>0.7685</v>
      </c>
      <c r="BX19" s="11" t="n">
        <v>0.8798</v>
      </c>
      <c r="BY19" s="11" t="n">
        <v>0.9136</v>
      </c>
      <c r="BZ19" s="11" t="n">
        <v>0.8798</v>
      </c>
      <c r="CA19" s="11" t="n">
        <v>0.8934</v>
      </c>
      <c r="CB19" s="11" t="n">
        <v>0.8943</v>
      </c>
      <c r="CC19" s="11" t="n">
        <v>0.8934</v>
      </c>
      <c r="CD19" s="12" t="n">
        <f aca="false">AVERAGE(BS19,BV19,BY19,CB19)</f>
        <v>0.85865</v>
      </c>
      <c r="CF19" s="7" t="s">
        <v>64</v>
      </c>
      <c r="CG19" s="8" t="n">
        <v>3655</v>
      </c>
      <c r="CH19" s="8" t="n">
        <v>2531</v>
      </c>
      <c r="CI19" s="8" t="n">
        <v>38735</v>
      </c>
    </row>
    <row r="20" customFormat="false" ht="18" hidden="false" customHeight="true" outlineLevel="0" collapsed="false">
      <c r="B20" s="2" t="s">
        <v>30</v>
      </c>
      <c r="C20" s="9" t="n">
        <v>0.9146</v>
      </c>
      <c r="D20" s="9" t="n">
        <v>0.6703</v>
      </c>
      <c r="E20" s="9" t="n">
        <v>0.676</v>
      </c>
      <c r="F20" s="9" t="n">
        <v>0.9866</v>
      </c>
      <c r="G20" s="9" t="n">
        <v>0.9235</v>
      </c>
      <c r="H20" s="9" t="n">
        <v>0.9877</v>
      </c>
      <c r="I20" s="9" t="n">
        <v>0.9873</v>
      </c>
      <c r="J20" s="9" t="n">
        <v>0.9274</v>
      </c>
      <c r="K20" s="9" t="n">
        <v>0.9961</v>
      </c>
      <c r="O20" s="2" t="s">
        <v>30</v>
      </c>
      <c r="P20" s="9" t="n">
        <v>0.9984</v>
      </c>
      <c r="Q20" s="9" t="n">
        <v>0.99</v>
      </c>
      <c r="R20" s="9" t="n">
        <v>0.9855</v>
      </c>
      <c r="S20" s="9" t="n">
        <v>0.9998</v>
      </c>
      <c r="T20" s="9" t="n">
        <v>0.9988</v>
      </c>
      <c r="U20" s="9" t="n">
        <v>1</v>
      </c>
      <c r="Y20" s="14" t="s">
        <v>56</v>
      </c>
      <c r="Z20" s="16" t="n">
        <f aca="false">F13</f>
        <v>0.9818</v>
      </c>
      <c r="AA20" s="16" t="n">
        <f aca="false">G13</f>
        <v>0.8845</v>
      </c>
      <c r="AB20" s="16" t="n">
        <f aca="false">H13</f>
        <v>0.8036</v>
      </c>
      <c r="AC20" s="16" t="n">
        <f aca="false">F32</f>
        <v>0.9781</v>
      </c>
      <c r="AD20" s="15" t="n">
        <f aca="false">G32</f>
        <v>0.9441</v>
      </c>
      <c r="AE20" s="15" t="n">
        <f aca="false">H32</f>
        <v>0.8266</v>
      </c>
      <c r="AF20" s="15" t="n">
        <f aca="false">F50</f>
        <v>0.999</v>
      </c>
      <c r="AG20" s="15" t="n">
        <f aca="false">G50</f>
        <v>0.9938</v>
      </c>
      <c r="AH20" s="15" t="n">
        <f aca="false">H50</f>
        <v>1</v>
      </c>
      <c r="AI20" s="15" t="n">
        <f aca="false">F68</f>
        <v>0.8269</v>
      </c>
      <c r="AJ20" s="15" t="n">
        <f aca="false">G68</f>
        <v>0.4692</v>
      </c>
      <c r="AK20" s="16" t="n">
        <f aca="false">H68</f>
        <v>0.0231</v>
      </c>
      <c r="AL20" s="17" t="n">
        <f aca="false">F86</f>
        <v>0.7082</v>
      </c>
      <c r="AM20" s="17" t="n">
        <f aca="false">G86</f>
        <v>0.4854</v>
      </c>
      <c r="AN20" s="17" t="n">
        <f aca="false">H86</f>
        <v>0.5057</v>
      </c>
      <c r="AO20" s="18" t="n">
        <f aca="false">AVERAGE(AA20,AD20,AG20,AJ20,AM20)</f>
        <v>0.7554</v>
      </c>
      <c r="AS20" s="2" t="s">
        <v>30</v>
      </c>
      <c r="AT20" s="9" t="n">
        <v>0.5489</v>
      </c>
      <c r="AU20" s="9" t="n">
        <v>0.5171</v>
      </c>
      <c r="AV20" s="9" t="n">
        <v>0.4126</v>
      </c>
      <c r="AW20" s="9" t="n">
        <v>0.6399</v>
      </c>
      <c r="AX20" s="9" t="n">
        <v>0.4017</v>
      </c>
      <c r="AY20" s="9" t="n">
        <v>0.0126</v>
      </c>
      <c r="BF20" s="1"/>
      <c r="BG20" s="1"/>
      <c r="BH20" s="1"/>
      <c r="BI20" s="1"/>
      <c r="BJ20" s="1"/>
      <c r="BN20" s="14" t="s">
        <v>65</v>
      </c>
      <c r="BO20" s="15" t="n">
        <v>0.0635</v>
      </c>
      <c r="BP20" s="15" t="n">
        <v>0.0194</v>
      </c>
      <c r="BQ20" s="15" t="n">
        <v>0.0635</v>
      </c>
      <c r="BR20" s="15" t="n">
        <v>0.4336</v>
      </c>
      <c r="BS20" s="15" t="n">
        <v>0.4307</v>
      </c>
      <c r="BT20" s="15" t="n">
        <v>0.4336</v>
      </c>
      <c r="BU20" s="15" t="n">
        <v>0.4329</v>
      </c>
      <c r="BV20" s="15" t="n">
        <v>0.4557</v>
      </c>
      <c r="BW20" s="15" t="n">
        <v>0.4329</v>
      </c>
      <c r="BX20" s="15" t="n">
        <v>0.8388</v>
      </c>
      <c r="BY20" s="15" t="n">
        <v>0.8825</v>
      </c>
      <c r="BZ20" s="15" t="n">
        <v>0.8388</v>
      </c>
      <c r="CA20" s="15" t="n">
        <v>0.7953</v>
      </c>
      <c r="CB20" s="15" t="n">
        <v>0.8163</v>
      </c>
      <c r="CC20" s="15" t="n">
        <v>0.7953</v>
      </c>
      <c r="CD20" s="18" t="n">
        <f aca="false">AVERAGE(BS20,BV20,BY20,CB20)</f>
        <v>0.6463</v>
      </c>
      <c r="CF20" s="7" t="s">
        <v>66</v>
      </c>
      <c r="CG20" s="8" t="n">
        <v>25097</v>
      </c>
      <c r="CH20" s="8" t="n">
        <v>11697</v>
      </c>
      <c r="CI20" s="8" t="n">
        <v>18857</v>
      </c>
    </row>
    <row r="21" customFormat="false" ht="18" hidden="false" customHeight="true" outlineLevel="0" collapsed="false">
      <c r="B21" s="2" t="s">
        <v>34</v>
      </c>
      <c r="C21" s="9" t="n">
        <v>0.9528</v>
      </c>
      <c r="D21" s="9" t="n">
        <v>0.7173</v>
      </c>
      <c r="E21" s="9" t="n">
        <v>0.5042</v>
      </c>
      <c r="F21" s="9" t="n">
        <v>0.9857</v>
      </c>
      <c r="G21" s="9" t="n">
        <v>0.917</v>
      </c>
      <c r="H21" s="9" t="n">
        <v>0.9572</v>
      </c>
      <c r="I21" s="9" t="n">
        <v>0.94</v>
      </c>
      <c r="J21" s="9" t="n">
        <v>0.7689</v>
      </c>
      <c r="K21" s="9" t="n">
        <v>1</v>
      </c>
      <c r="O21" s="2" t="s">
        <v>34</v>
      </c>
      <c r="P21" s="9" t="n">
        <v>0.999</v>
      </c>
      <c r="Q21" s="9" t="n">
        <v>0.9938</v>
      </c>
      <c r="R21" s="9" t="n">
        <v>1</v>
      </c>
      <c r="S21" s="9" t="n">
        <v>0.971</v>
      </c>
      <c r="T21" s="9" t="n">
        <v>0.8175</v>
      </c>
      <c r="U21" s="9" t="n">
        <v>0.6563</v>
      </c>
      <c r="Y21" s="19" t="s">
        <v>59</v>
      </c>
      <c r="Z21" s="21" t="n">
        <f aca="false">I13</f>
        <v>0.984</v>
      </c>
      <c r="AA21" s="21" t="n">
        <f aca="false">J13</f>
        <v>0.9024</v>
      </c>
      <c r="AB21" s="21" t="n">
        <f aca="false">K13</f>
        <v>0.8736</v>
      </c>
      <c r="AC21" s="21" t="n">
        <f aca="false">I32</f>
        <v>0.9782</v>
      </c>
      <c r="AD21" s="21" t="n">
        <f aca="false">J32</f>
        <v>0.9441</v>
      </c>
      <c r="AE21" s="21" t="n">
        <f aca="false">K32</f>
        <v>0.8266</v>
      </c>
      <c r="AF21" s="21" t="n">
        <f aca="false">I50</f>
        <v>0.9987</v>
      </c>
      <c r="AG21" s="21" t="n">
        <f aca="false">J50</f>
        <v>0.992</v>
      </c>
      <c r="AH21" s="21" t="n">
        <f aca="false">K50</f>
        <v>1</v>
      </c>
      <c r="AI21" s="21" t="n">
        <f aca="false">I68</f>
        <v>0.8373</v>
      </c>
      <c r="AJ21" s="21" t="n">
        <f aca="false">J68</f>
        <v>0.4834</v>
      </c>
      <c r="AK21" s="21" t="n">
        <f aca="false">K68</f>
        <v>0.0371</v>
      </c>
      <c r="AL21" s="20" t="n">
        <f aca="false">I86</f>
        <v>0.7988</v>
      </c>
      <c r="AM21" s="20" t="n">
        <f aca="false">J86</f>
        <v>0.4998</v>
      </c>
      <c r="AN21" s="20" t="n">
        <f aca="false">K86</f>
        <v>0.5009</v>
      </c>
      <c r="AO21" s="23" t="n">
        <f aca="false">AVERAGE(AA21,AD21,AG21,AJ21,AM21)</f>
        <v>0.76434</v>
      </c>
      <c r="AS21" s="2" t="s">
        <v>34</v>
      </c>
      <c r="AT21" s="9" t="n">
        <v>0.5681</v>
      </c>
      <c r="AU21" s="9" t="n">
        <v>0.4904</v>
      </c>
      <c r="AV21" s="9" t="n">
        <v>0.2504</v>
      </c>
      <c r="AW21" s="9" t="n">
        <v>0.6202</v>
      </c>
      <c r="AX21" s="9" t="n">
        <v>0.4593</v>
      </c>
      <c r="AY21" s="9" t="n">
        <v>0.1053</v>
      </c>
      <c r="BF21" s="1"/>
      <c r="BG21" s="1"/>
      <c r="BH21" s="1"/>
      <c r="BI21" s="1"/>
      <c r="BJ21" s="1"/>
      <c r="BN21" s="19" t="s">
        <v>67</v>
      </c>
      <c r="BO21" s="21" t="n">
        <v>0.701</v>
      </c>
      <c r="BP21" s="21" t="n">
        <v>0.7053</v>
      </c>
      <c r="BQ21" s="21" t="n">
        <v>0.701</v>
      </c>
      <c r="BR21" s="21" t="n">
        <v>0.7655</v>
      </c>
      <c r="BS21" s="21" t="n">
        <v>0.778</v>
      </c>
      <c r="BT21" s="21" t="n">
        <v>0.7655</v>
      </c>
      <c r="BU21" s="21" t="n">
        <v>0.761</v>
      </c>
      <c r="BV21" s="21" t="n">
        <v>0.7501</v>
      </c>
      <c r="BW21" s="21" t="n">
        <v>0.761</v>
      </c>
      <c r="BX21" s="21" t="n">
        <v>0.95</v>
      </c>
      <c r="BY21" s="21" t="n">
        <v>0.9639</v>
      </c>
      <c r="BZ21" s="21" t="n">
        <v>0.95</v>
      </c>
      <c r="CA21" s="21" t="n">
        <v>0.9561</v>
      </c>
      <c r="CB21" s="21" t="n">
        <v>0.9469</v>
      </c>
      <c r="CC21" s="21" t="n">
        <v>0.9561</v>
      </c>
      <c r="CD21" s="23" t="n">
        <f aca="false">AVERAGE(BS21,BV21,BY21,CB21)</f>
        <v>0.859725</v>
      </c>
      <c r="CF21" s="7" t="s">
        <v>68</v>
      </c>
      <c r="CG21" s="8" t="n">
        <v>2428</v>
      </c>
      <c r="CH21" s="8" t="n">
        <v>48</v>
      </c>
      <c r="CI21" s="8" t="n">
        <v>52</v>
      </c>
    </row>
    <row r="22" customFormat="false" ht="18" hidden="false" customHeight="true" outlineLevel="0" collapsed="false">
      <c r="B22" s="2" t="s">
        <v>38</v>
      </c>
      <c r="C22" s="9" t="n">
        <v>0.9159</v>
      </c>
      <c r="D22" s="9" t="n">
        <v>0.669</v>
      </c>
      <c r="E22" s="9" t="n">
        <v>0.6567</v>
      </c>
      <c r="F22" s="9" t="n">
        <v>0.9862</v>
      </c>
      <c r="G22" s="9" t="n">
        <v>0.9189</v>
      </c>
      <c r="H22" s="9" t="n">
        <v>0.9492</v>
      </c>
      <c r="I22" s="9" t="n">
        <v>0.986</v>
      </c>
      <c r="J22" s="9" t="n">
        <v>0.9197</v>
      </c>
      <c r="K22" s="9" t="n">
        <v>0.9721</v>
      </c>
      <c r="O22" s="2" t="s">
        <v>38</v>
      </c>
      <c r="P22" s="9" t="n">
        <v>0.999</v>
      </c>
      <c r="Q22" s="9" t="n">
        <v>0.9938</v>
      </c>
      <c r="R22" s="9" t="n">
        <v>1</v>
      </c>
      <c r="S22" s="9" t="n">
        <v>0.9983</v>
      </c>
      <c r="T22" s="9" t="n">
        <v>0.9893</v>
      </c>
      <c r="U22" s="9" t="n">
        <v>0.9828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S22" s="2" t="s">
        <v>38</v>
      </c>
      <c r="AT22" s="9" t="n">
        <v>0.5681</v>
      </c>
      <c r="AU22" s="9" t="n">
        <v>0.4904</v>
      </c>
      <c r="AV22" s="9" t="n">
        <v>0.2504</v>
      </c>
      <c r="AW22" s="9" t="n">
        <v>0.5484</v>
      </c>
      <c r="AX22" s="9" t="n">
        <v>0.48</v>
      </c>
      <c r="AY22" s="9" t="n">
        <v>0.2621</v>
      </c>
      <c r="BC22" s="0" t="s">
        <v>69</v>
      </c>
      <c r="BN22" s="1"/>
      <c r="BO22" s="1"/>
      <c r="BP22" s="1"/>
      <c r="BQ22" s="1"/>
      <c r="CF22" s="24" t="s">
        <v>70</v>
      </c>
      <c r="CG22" s="8" t="n">
        <v>248</v>
      </c>
      <c r="CH22" s="8" t="n">
        <v>9437</v>
      </c>
      <c r="CI22" s="8" t="n">
        <v>18850</v>
      </c>
    </row>
    <row r="23" customFormat="false" ht="18" hidden="false" customHeight="true" outlineLevel="0" collapsed="false">
      <c r="B23" s="1"/>
      <c r="O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customFormat="false" ht="18" hidden="false" customHeight="true" outlineLevel="0" collapsed="false">
      <c r="B24" s="1"/>
      <c r="O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BC24" s="4"/>
      <c r="BD24" s="5" t="s">
        <v>17</v>
      </c>
      <c r="BE24" s="5"/>
      <c r="BF24" s="5"/>
      <c r="BG24" s="5" t="s">
        <v>18</v>
      </c>
      <c r="BH24" s="5"/>
      <c r="BI24" s="5"/>
      <c r="BJ24" s="6" t="s">
        <v>16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customFormat="false" ht="18" hidden="false" customHeight="true" outlineLevel="0" collapsed="false">
      <c r="E25" s="0" t="s">
        <v>71</v>
      </c>
      <c r="O25" s="0" t="s">
        <v>72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R25" s="0" t="s">
        <v>73</v>
      </c>
      <c r="BC25" s="4"/>
      <c r="BD25" s="5"/>
      <c r="BE25" s="5"/>
      <c r="BF25" s="5"/>
      <c r="BG25" s="5"/>
      <c r="BH25" s="5"/>
      <c r="BI25" s="5"/>
      <c r="BJ25" s="6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customFormat="false" ht="18" hidden="false" customHeight="true" outlineLevel="0" collapsed="false">
      <c r="Y26" s="1"/>
      <c r="Z26" s="0" t="s">
        <v>69</v>
      </c>
      <c r="BC26" s="4"/>
      <c r="BD26" s="2" t="s">
        <v>20</v>
      </c>
      <c r="BE26" s="2" t="s">
        <v>21</v>
      </c>
      <c r="BF26" s="2" t="s">
        <v>22</v>
      </c>
      <c r="BG26" s="2" t="s">
        <v>20</v>
      </c>
      <c r="BH26" s="2" t="s">
        <v>21</v>
      </c>
      <c r="BI26" s="2" t="s">
        <v>22</v>
      </c>
      <c r="BJ26" s="2" t="s">
        <v>21</v>
      </c>
      <c r="BK26" s="1"/>
      <c r="BL26" s="1"/>
      <c r="BM26" s="1"/>
      <c r="CG26" s="24" t="s">
        <v>74</v>
      </c>
      <c r="CH26" s="24" t="s">
        <v>75</v>
      </c>
      <c r="CR26" s="25"/>
    </row>
    <row r="27" customFormat="false" ht="18" hidden="false" customHeight="true" outlineLevel="0" collapsed="false">
      <c r="B27" s="2"/>
      <c r="C27" s="3" t="s">
        <v>8</v>
      </c>
      <c r="D27" s="3"/>
      <c r="E27" s="3"/>
      <c r="F27" s="3" t="s">
        <v>9</v>
      </c>
      <c r="G27" s="3"/>
      <c r="H27" s="3"/>
      <c r="I27" s="3" t="s">
        <v>10</v>
      </c>
      <c r="J27" s="3"/>
      <c r="K27" s="3"/>
      <c r="O27" s="2"/>
      <c r="P27" s="3" t="s">
        <v>9</v>
      </c>
      <c r="Q27" s="3"/>
      <c r="R27" s="3"/>
      <c r="S27" s="3" t="s">
        <v>10</v>
      </c>
      <c r="T27" s="3"/>
      <c r="U27" s="3"/>
      <c r="AS27" s="2"/>
      <c r="AT27" s="3" t="s">
        <v>9</v>
      </c>
      <c r="AU27" s="3"/>
      <c r="AV27" s="3"/>
      <c r="AW27" s="3" t="s">
        <v>10</v>
      </c>
      <c r="AX27" s="3"/>
      <c r="AY27" s="3"/>
      <c r="BC27" s="14" t="s">
        <v>31</v>
      </c>
      <c r="BD27" s="15" t="n">
        <f aca="false">AT19</f>
        <v>0.4899</v>
      </c>
      <c r="BE27" s="15" t="n">
        <f aca="false">AU19</f>
        <v>0.4803</v>
      </c>
      <c r="BF27" s="15" t="n">
        <f aca="false">AV19</f>
        <v>0.4988</v>
      </c>
      <c r="BG27" s="15" t="n">
        <f aca="false">AT38</f>
        <v>0.3892</v>
      </c>
      <c r="BH27" s="15" t="n">
        <f aca="false">AU38</f>
        <v>0.362</v>
      </c>
      <c r="BI27" s="15" t="n">
        <f aca="false">AV38</f>
        <v>0.8403</v>
      </c>
      <c r="BJ27" s="18" t="n">
        <f aca="false">AVERAGE(BE27,BH27)</f>
        <v>0.42115</v>
      </c>
      <c r="CF27" s="7" t="s">
        <v>76</v>
      </c>
      <c r="CG27" s="7" t="n">
        <v>2299</v>
      </c>
      <c r="CH27" s="8" t="n">
        <v>1226</v>
      </c>
      <c r="CS27" s="25"/>
      <c r="CT27" s="25"/>
    </row>
    <row r="28" customFormat="false" ht="18" hidden="false" customHeight="true" outlineLevel="0" collapsed="false">
      <c r="B28" s="2"/>
      <c r="C28" s="2" t="s">
        <v>20</v>
      </c>
      <c r="D28" s="2" t="s">
        <v>21</v>
      </c>
      <c r="E28" s="2" t="s">
        <v>22</v>
      </c>
      <c r="F28" s="2" t="s">
        <v>20</v>
      </c>
      <c r="G28" s="2" t="s">
        <v>21</v>
      </c>
      <c r="H28" s="2" t="s">
        <v>22</v>
      </c>
      <c r="I28" s="2" t="s">
        <v>20</v>
      </c>
      <c r="J28" s="2" t="s">
        <v>21</v>
      </c>
      <c r="K28" s="2" t="s">
        <v>22</v>
      </c>
      <c r="O28" s="2"/>
      <c r="P28" s="2" t="s">
        <v>20</v>
      </c>
      <c r="Q28" s="2" t="s">
        <v>21</v>
      </c>
      <c r="R28" s="2" t="s">
        <v>22</v>
      </c>
      <c r="S28" s="2" t="s">
        <v>20</v>
      </c>
      <c r="T28" s="2" t="s">
        <v>21</v>
      </c>
      <c r="U28" s="2" t="s">
        <v>22</v>
      </c>
      <c r="Y28" s="4"/>
      <c r="Z28" s="3" t="s">
        <v>11</v>
      </c>
      <c r="AA28" s="3"/>
      <c r="AB28" s="3"/>
      <c r="AC28" s="3" t="s">
        <v>12</v>
      </c>
      <c r="AD28" s="3"/>
      <c r="AE28" s="3"/>
      <c r="AF28" s="3" t="s">
        <v>13</v>
      </c>
      <c r="AG28" s="3"/>
      <c r="AH28" s="3"/>
      <c r="AI28" s="3" t="s">
        <v>14</v>
      </c>
      <c r="AJ28" s="3"/>
      <c r="AK28" s="3"/>
      <c r="AL28" s="3" t="s">
        <v>15</v>
      </c>
      <c r="AM28" s="3"/>
      <c r="AN28" s="3"/>
      <c r="AO28" s="2" t="s">
        <v>16</v>
      </c>
      <c r="AS28" s="2"/>
      <c r="AT28" s="2" t="s">
        <v>20</v>
      </c>
      <c r="AU28" s="2" t="s">
        <v>21</v>
      </c>
      <c r="AV28" s="2" t="s">
        <v>22</v>
      </c>
      <c r="AW28" s="2" t="s">
        <v>20</v>
      </c>
      <c r="AX28" s="2" t="s">
        <v>21</v>
      </c>
      <c r="AY28" s="2" t="s">
        <v>22</v>
      </c>
      <c r="BC28" s="19" t="s">
        <v>35</v>
      </c>
      <c r="BD28" s="21" t="n">
        <f aca="false">AW19</f>
        <v>0.4651</v>
      </c>
      <c r="BE28" s="21" t="n">
        <f aca="false">AX19</f>
        <v>0.4592</v>
      </c>
      <c r="BF28" s="21" t="n">
        <f aca="false">AY19</f>
        <v>0.5088</v>
      </c>
      <c r="BG28" s="21" t="n">
        <f aca="false">AW38</f>
        <v>0.4858</v>
      </c>
      <c r="BH28" s="21" t="n">
        <f aca="false">AX38</f>
        <v>0.4297</v>
      </c>
      <c r="BI28" s="21" t="n">
        <f aca="false">AY38</f>
        <v>0.243</v>
      </c>
      <c r="BJ28" s="18" t="n">
        <f aca="false">AVERAGE(BE28,BH28)</f>
        <v>0.44445</v>
      </c>
      <c r="CF28" s="7" t="s">
        <v>77</v>
      </c>
      <c r="CG28" s="7" t="n">
        <v>2169</v>
      </c>
      <c r="CH28" s="8" t="n">
        <v>3451</v>
      </c>
      <c r="CQ28" s="8"/>
    </row>
    <row r="29" customFormat="false" ht="18" hidden="false" customHeight="true" outlineLevel="0" collapsed="false">
      <c r="B29" s="2" t="s">
        <v>26</v>
      </c>
      <c r="C29" s="9" t="n">
        <v>0.8826</v>
      </c>
      <c r="D29" s="9" t="n">
        <v>0.7676</v>
      </c>
      <c r="E29" s="9" t="n">
        <v>0.7495</v>
      </c>
      <c r="F29" s="9" t="n">
        <v>0.9781</v>
      </c>
      <c r="G29" s="9" t="n">
        <v>0.9439</v>
      </c>
      <c r="H29" s="9" t="n">
        <v>0.8266</v>
      </c>
      <c r="I29" s="9" t="n">
        <v>0.9781</v>
      </c>
      <c r="J29" s="9" t="n">
        <v>0.944</v>
      </c>
      <c r="K29" s="9" t="n">
        <v>0.8268</v>
      </c>
      <c r="O29" s="2" t="s">
        <v>26</v>
      </c>
      <c r="P29" s="9" t="n">
        <v>0.8691</v>
      </c>
      <c r="Q29" s="9" t="n">
        <v>0.465</v>
      </c>
      <c r="R29" s="9" t="n">
        <v>0</v>
      </c>
      <c r="S29" s="9" t="n">
        <v>0.4276</v>
      </c>
      <c r="T29" s="9" t="n">
        <v>0.3607</v>
      </c>
      <c r="U29" s="9" t="n">
        <v>0.4012</v>
      </c>
      <c r="Y29" s="4"/>
      <c r="Z29" s="2" t="s">
        <v>20</v>
      </c>
      <c r="AA29" s="2" t="s">
        <v>21</v>
      </c>
      <c r="AB29" s="2" t="s">
        <v>22</v>
      </c>
      <c r="AC29" s="2" t="s">
        <v>20</v>
      </c>
      <c r="AD29" s="2" t="s">
        <v>21</v>
      </c>
      <c r="AE29" s="2" t="s">
        <v>22</v>
      </c>
      <c r="AF29" s="2" t="s">
        <v>20</v>
      </c>
      <c r="AG29" s="2" t="s">
        <v>21</v>
      </c>
      <c r="AH29" s="2" t="s">
        <v>22</v>
      </c>
      <c r="AI29" s="2" t="s">
        <v>20</v>
      </c>
      <c r="AJ29" s="2" t="s">
        <v>21</v>
      </c>
      <c r="AK29" s="2" t="s">
        <v>22</v>
      </c>
      <c r="AL29" s="2" t="s">
        <v>20</v>
      </c>
      <c r="AM29" s="2" t="s">
        <v>21</v>
      </c>
      <c r="AN29" s="2" t="s">
        <v>22</v>
      </c>
      <c r="AO29" s="2" t="s">
        <v>21</v>
      </c>
      <c r="AS29" s="2" t="s">
        <v>26</v>
      </c>
      <c r="AT29" s="9" t="n">
        <v>0.3544</v>
      </c>
      <c r="AU29" s="9" t="n">
        <v>0.2617</v>
      </c>
      <c r="AV29" s="9" t="n">
        <v>1</v>
      </c>
      <c r="AW29" s="9" t="n">
        <v>0.6377</v>
      </c>
      <c r="AX29" s="9" t="n">
        <v>0.3987</v>
      </c>
      <c r="AY29" s="9" t="n">
        <v>0.0103</v>
      </c>
      <c r="BC29" s="14" t="s">
        <v>40</v>
      </c>
      <c r="BD29" s="15" t="n">
        <f aca="false">AT20</f>
        <v>0.5489</v>
      </c>
      <c r="BE29" s="15" t="n">
        <f aca="false">AU20</f>
        <v>0.5171</v>
      </c>
      <c r="BF29" s="15" t="n">
        <f aca="false">AV20</f>
        <v>0.4126</v>
      </c>
      <c r="BG29" s="15" t="n">
        <f aca="false">AT39</f>
        <v>0.6463</v>
      </c>
      <c r="BH29" s="15" t="n">
        <f aca="false">AU39</f>
        <v>0.3946</v>
      </c>
      <c r="BI29" s="15" t="n">
        <f aca="false">AV39</f>
        <v>0.0021</v>
      </c>
      <c r="BJ29" s="12" t="n">
        <f aca="false">AVERAGE(BE29,BH29)</f>
        <v>0.45585</v>
      </c>
      <c r="CF29" s="7" t="s">
        <v>19</v>
      </c>
      <c r="CG29" s="7" t="n">
        <v>45904</v>
      </c>
      <c r="CH29" s="8" t="n">
        <v>43021</v>
      </c>
      <c r="CK29" s="8"/>
    </row>
    <row r="30" customFormat="false" ht="18" hidden="false" customHeight="true" outlineLevel="0" collapsed="false">
      <c r="B30" s="2" t="s">
        <v>30</v>
      </c>
      <c r="C30" s="9" t="n">
        <v>0.9275</v>
      </c>
      <c r="D30" s="9" t="n">
        <v>0.8271</v>
      </c>
      <c r="E30" s="9" t="n">
        <v>0.6917</v>
      </c>
      <c r="F30" s="9" t="n">
        <v>0.9782</v>
      </c>
      <c r="G30" s="9" t="n">
        <v>0.9443</v>
      </c>
      <c r="H30" s="9" t="n">
        <v>0.8266</v>
      </c>
      <c r="I30" s="9" t="n">
        <v>0.9781</v>
      </c>
      <c r="J30" s="9" t="n">
        <v>0.9439</v>
      </c>
      <c r="K30" s="9" t="n">
        <v>0.8264</v>
      </c>
      <c r="O30" s="2" t="s">
        <v>30</v>
      </c>
      <c r="P30" s="9" t="n">
        <v>0.8696</v>
      </c>
      <c r="Q30" s="9" t="n">
        <v>0.4653</v>
      </c>
      <c r="R30" s="9" t="n">
        <v>0.0002</v>
      </c>
      <c r="S30" s="9" t="n">
        <v>0.8683</v>
      </c>
      <c r="T30" s="9" t="n">
        <v>0.4653</v>
      </c>
      <c r="U30" s="9" t="n">
        <v>0.0006</v>
      </c>
      <c r="Y30" s="10" t="s">
        <v>27</v>
      </c>
      <c r="Z30" s="11" t="n">
        <f aca="false">C19</f>
        <v>0.9111</v>
      </c>
      <c r="AA30" s="11" t="n">
        <f aca="false">D19</f>
        <v>0.6564</v>
      </c>
      <c r="AB30" s="11" t="n">
        <f aca="false">E19</f>
        <v>0.6301</v>
      </c>
      <c r="AC30" s="11" t="n">
        <f aca="false">C38</f>
        <v>0.853</v>
      </c>
      <c r="AD30" s="11" t="n">
        <f aca="false">D38</f>
        <v>0.7265</v>
      </c>
      <c r="AE30" s="11" t="n">
        <f aca="false">E38</f>
        <v>0.7239</v>
      </c>
      <c r="AF30" s="11" t="n">
        <f aca="false">C56</f>
        <v>0.9655</v>
      </c>
      <c r="AG30" s="11" t="n">
        <f aca="false">D56</f>
        <v>0.7821</v>
      </c>
      <c r="AH30" s="11" t="n">
        <f aca="false">E56</f>
        <v>0.5859</v>
      </c>
      <c r="AI30" s="11" t="n">
        <f aca="false">C74</f>
        <v>0.7966</v>
      </c>
      <c r="AJ30" s="11" t="n">
        <f aca="false">D74</f>
        <v>0.4992</v>
      </c>
      <c r="AK30" s="11" t="n">
        <f aca="false">E74</f>
        <v>0.1004</v>
      </c>
      <c r="AL30" s="17" t="n">
        <f aca="false">C92</f>
        <v>0.8919</v>
      </c>
      <c r="AM30" s="17" t="n">
        <f aca="false">D92</f>
        <v>0.4785</v>
      </c>
      <c r="AN30" s="17" t="n">
        <f aca="false">E92</f>
        <v>0.4985</v>
      </c>
      <c r="AO30" s="12" t="n">
        <f aca="false">AVERAGE(AA30,AD30,AG30,AJ30,AM30)</f>
        <v>0.62854</v>
      </c>
      <c r="AS30" s="2" t="s">
        <v>30</v>
      </c>
      <c r="AT30" s="9" t="n">
        <v>0.5681</v>
      </c>
      <c r="AU30" s="9" t="n">
        <v>0.4904</v>
      </c>
      <c r="AV30" s="9" t="n">
        <v>0.2504</v>
      </c>
      <c r="AW30" s="9" t="n">
        <v>0.641</v>
      </c>
      <c r="AX30" s="9" t="n">
        <v>0.4016</v>
      </c>
      <c r="AY30" s="9" t="n">
        <v>0.012</v>
      </c>
      <c r="BC30" s="19" t="s">
        <v>43</v>
      </c>
      <c r="BD30" s="21" t="n">
        <f aca="false">AW20</f>
        <v>0.6399</v>
      </c>
      <c r="BE30" s="21" t="n">
        <f aca="false">AX20</f>
        <v>0.4017</v>
      </c>
      <c r="BF30" s="21" t="n">
        <f aca="false">AY20</f>
        <v>0.0126</v>
      </c>
      <c r="BG30" s="21" t="n">
        <f aca="false">AW39</f>
        <v>0.6418</v>
      </c>
      <c r="BH30" s="21" t="n">
        <f aca="false">AX39</f>
        <v>0.4006</v>
      </c>
      <c r="BI30" s="21" t="n">
        <f aca="false">AY39</f>
        <v>0.0105</v>
      </c>
      <c r="BJ30" s="23" t="n">
        <f aca="false">AVERAGE(BE30,BH30)</f>
        <v>0.40115</v>
      </c>
      <c r="CF30" s="7" t="s">
        <v>78</v>
      </c>
      <c r="CG30" s="7" t="n">
        <v>5794</v>
      </c>
      <c r="CH30" s="8" t="n">
        <v>5050</v>
      </c>
      <c r="CK30" s="8"/>
    </row>
    <row r="31" customFormat="false" ht="18" hidden="false" customHeight="true" outlineLevel="0" collapsed="false">
      <c r="B31" s="2" t="s">
        <v>34</v>
      </c>
      <c r="C31" s="9" t="n">
        <v>0.9441</v>
      </c>
      <c r="D31" s="9" t="n">
        <v>0.8738</v>
      </c>
      <c r="E31" s="9" t="n">
        <v>0.8269</v>
      </c>
      <c r="F31" s="9" t="n">
        <v>0.9781</v>
      </c>
      <c r="G31" s="9" t="n">
        <v>0.9439</v>
      </c>
      <c r="H31" s="9" t="n">
        <v>0.8266</v>
      </c>
      <c r="I31" s="9" t="n">
        <v>0.976</v>
      </c>
      <c r="J31" s="9" t="n">
        <v>0.9425</v>
      </c>
      <c r="K31" s="9" t="n">
        <v>0.8866</v>
      </c>
      <c r="O31" s="2" t="s">
        <v>34</v>
      </c>
      <c r="P31" s="9" t="n">
        <v>0.7507</v>
      </c>
      <c r="Q31" s="9" t="n">
        <v>0.5784</v>
      </c>
      <c r="R31" s="9" t="n">
        <v>0.4299</v>
      </c>
      <c r="S31" s="9" t="n">
        <v>0.7307</v>
      </c>
      <c r="T31" s="9" t="n">
        <v>0.529</v>
      </c>
      <c r="U31" s="9" t="n">
        <v>0.2942</v>
      </c>
      <c r="Y31" s="14" t="s">
        <v>31</v>
      </c>
      <c r="Z31" s="15" t="n">
        <f aca="false">F19</f>
        <v>0.9863</v>
      </c>
      <c r="AA31" s="15" t="n">
        <f aca="false">G19</f>
        <v>0.9218</v>
      </c>
      <c r="AB31" s="15" t="n">
        <f aca="false">H19</f>
        <v>0.9786</v>
      </c>
      <c r="AC31" s="15" t="n">
        <f aca="false">F38</f>
        <v>0.9697</v>
      </c>
      <c r="AD31" s="16" t="n">
        <f aca="false">G38</f>
        <v>0.9223</v>
      </c>
      <c r="AE31" s="15" t="n">
        <f aca="false">H38</f>
        <v>0.789</v>
      </c>
      <c r="AF31" s="15" t="n">
        <f aca="false">F56</f>
        <v>0.999</v>
      </c>
      <c r="AG31" s="16" t="n">
        <f aca="false">G56</f>
        <v>0.9938</v>
      </c>
      <c r="AH31" s="15" t="n">
        <f aca="false">H56</f>
        <v>1</v>
      </c>
      <c r="AI31" s="16" t="n">
        <f aca="false">F74</f>
        <v>0.8236</v>
      </c>
      <c r="AJ31" s="16" t="n">
        <f aca="false">G74</f>
        <v>0.4669</v>
      </c>
      <c r="AK31" s="16" t="n">
        <f aca="false">H74</f>
        <v>0.0217</v>
      </c>
      <c r="AL31" s="17" t="n">
        <f aca="false">F92</f>
        <v>0.7082</v>
      </c>
      <c r="AM31" s="17" t="n">
        <f aca="false">G92</f>
        <v>0.4854</v>
      </c>
      <c r="AN31" s="17" t="n">
        <f aca="false">H92</f>
        <v>0.5057</v>
      </c>
      <c r="AO31" s="18" t="n">
        <f aca="false">AVERAGE(AA31,AD31,AG31,AJ31,AM31)</f>
        <v>0.75804</v>
      </c>
      <c r="AS31" s="2" t="s">
        <v>34</v>
      </c>
      <c r="AT31" s="9" t="n">
        <v>0.3544</v>
      </c>
      <c r="AU31" s="9" t="n">
        <v>0.2617</v>
      </c>
      <c r="AV31" s="9" t="n">
        <v>1</v>
      </c>
      <c r="AW31" s="9" t="n">
        <v>0.6978</v>
      </c>
      <c r="AX31" s="9" t="n">
        <v>0.6153</v>
      </c>
      <c r="AY31" s="9" t="n">
        <v>0.3309</v>
      </c>
      <c r="BC31" s="14" t="s">
        <v>49</v>
      </c>
      <c r="BD31" s="15" t="n">
        <f aca="false">AT21</f>
        <v>0.5681</v>
      </c>
      <c r="BE31" s="15" t="n">
        <f aca="false">AU21</f>
        <v>0.4904</v>
      </c>
      <c r="BF31" s="15" t="n">
        <f aca="false">AV21</f>
        <v>0.2504</v>
      </c>
      <c r="BG31" s="15" t="n">
        <f aca="false">AT40</f>
        <v>0.4899</v>
      </c>
      <c r="BH31" s="15" t="n">
        <f aca="false">AU40</f>
        <v>0.4803</v>
      </c>
      <c r="BI31" s="15" t="n">
        <f aca="false">AV40</f>
        <v>0.4988</v>
      </c>
      <c r="BJ31" s="18" t="n">
        <f aca="false">AVERAGE(BE31,BH31)</f>
        <v>0.48535</v>
      </c>
      <c r="CF31" s="7" t="s">
        <v>79</v>
      </c>
      <c r="CG31" s="7" t="n">
        <v>31551</v>
      </c>
      <c r="CH31" s="8" t="n">
        <v>38816</v>
      </c>
      <c r="CK31" s="8"/>
    </row>
    <row r="32" customFormat="false" ht="18" hidden="false" customHeight="true" outlineLevel="0" collapsed="false">
      <c r="B32" s="2" t="s">
        <v>38</v>
      </c>
      <c r="C32" s="9" t="n">
        <v>0.9273</v>
      </c>
      <c r="D32" s="9" t="n">
        <v>0.8268</v>
      </c>
      <c r="E32" s="9" t="n">
        <v>0.6927</v>
      </c>
      <c r="F32" s="9" t="n">
        <v>0.9781</v>
      </c>
      <c r="G32" s="9" t="n">
        <v>0.9441</v>
      </c>
      <c r="H32" s="9" t="n">
        <v>0.8266</v>
      </c>
      <c r="I32" s="9" t="n">
        <v>0.9782</v>
      </c>
      <c r="J32" s="9" t="n">
        <v>0.9441</v>
      </c>
      <c r="K32" s="9" t="n">
        <v>0.8266</v>
      </c>
      <c r="O32" s="2" t="s">
        <v>38</v>
      </c>
      <c r="P32" s="9" t="n">
        <v>0.8692</v>
      </c>
      <c r="Q32" s="9" t="n">
        <v>0.465</v>
      </c>
      <c r="R32" s="9" t="n">
        <v>0</v>
      </c>
      <c r="S32" s="9" t="n">
        <v>0.5769</v>
      </c>
      <c r="T32" s="9" t="n">
        <v>0.3785</v>
      </c>
      <c r="U32" s="9" t="n">
        <v>0.0458</v>
      </c>
      <c r="Y32" s="19" t="s">
        <v>35</v>
      </c>
      <c r="Z32" s="20" t="n">
        <f aca="false">I19</f>
        <v>0.9848</v>
      </c>
      <c r="AA32" s="20" t="n">
        <f aca="false">J19</f>
        <v>0.911</v>
      </c>
      <c r="AB32" s="20" t="n">
        <f aca="false">K19</f>
        <v>0.9329</v>
      </c>
      <c r="AC32" s="21" t="n">
        <f aca="false">I38</f>
        <v>0.9691</v>
      </c>
      <c r="AD32" s="21" t="n">
        <f aca="false">J38</f>
        <v>0.9211</v>
      </c>
      <c r="AE32" s="21" t="n">
        <f aca="false">K38</f>
        <v>0.7902</v>
      </c>
      <c r="AF32" s="20" t="n">
        <f aca="false">I56</f>
        <v>0.9979</v>
      </c>
      <c r="AG32" s="21" t="n">
        <f aca="false">J56</f>
        <v>0.9864</v>
      </c>
      <c r="AH32" s="20" t="n">
        <f aca="false">K56</f>
        <v>0.9717</v>
      </c>
      <c r="AI32" s="21" t="n">
        <f aca="false">I74</f>
        <v>0.8363</v>
      </c>
      <c r="AJ32" s="21" t="n">
        <f aca="false">J74</f>
        <v>0.4815</v>
      </c>
      <c r="AK32" s="20" t="n">
        <f aca="false">K74</f>
        <v>0.0351</v>
      </c>
      <c r="AL32" s="20" t="n">
        <f aca="false">I92</f>
        <v>0.7655</v>
      </c>
      <c r="AM32" s="20" t="n">
        <f aca="false">J92</f>
        <v>0.4863</v>
      </c>
      <c r="AN32" s="20" t="n">
        <f aca="false">K92</f>
        <v>0.4884</v>
      </c>
      <c r="AO32" s="18" t="n">
        <f aca="false">AVERAGE(AA32,AD32,AG32,AJ32,AM32)</f>
        <v>0.75726</v>
      </c>
      <c r="AS32" s="2" t="s">
        <v>38</v>
      </c>
      <c r="AT32" s="9" t="n">
        <v>0.5247</v>
      </c>
      <c r="AU32" s="9" t="n">
        <v>0.4829</v>
      </c>
      <c r="AV32" s="9" t="n">
        <v>0.3391</v>
      </c>
      <c r="AW32" s="9" t="n">
        <v>0.4899</v>
      </c>
      <c r="AX32" s="9" t="n">
        <v>0.4803</v>
      </c>
      <c r="AY32" s="9" t="n">
        <v>0.499</v>
      </c>
      <c r="BC32" s="19" t="s">
        <v>53</v>
      </c>
      <c r="BD32" s="21" t="n">
        <f aca="false">AW21</f>
        <v>0.6202</v>
      </c>
      <c r="BE32" s="21" t="n">
        <f aca="false">AX21</f>
        <v>0.4593</v>
      </c>
      <c r="BF32" s="21" t="n">
        <f aca="false">AY21</f>
        <v>0.1053</v>
      </c>
      <c r="BG32" s="21" t="n">
        <f aca="false">AW40</f>
        <v>0.5513</v>
      </c>
      <c r="BH32" s="21" t="n">
        <f aca="false">AX40</f>
        <v>0.4412</v>
      </c>
      <c r="BI32" s="21" t="n">
        <f aca="false">AY40</f>
        <v>0.1516</v>
      </c>
      <c r="BJ32" s="18" t="n">
        <f aca="false">AVERAGE(BE32,BH32)</f>
        <v>0.45025</v>
      </c>
      <c r="CF32" s="7" t="s">
        <v>80</v>
      </c>
      <c r="CG32" s="7" t="n">
        <v>22310</v>
      </c>
      <c r="CH32" s="8" t="n">
        <v>25588</v>
      </c>
      <c r="CK32" s="8"/>
    </row>
    <row r="33" customFormat="false" ht="18" hidden="false" customHeight="true" outlineLevel="0" collapsed="false">
      <c r="Y33" s="10" t="s">
        <v>39</v>
      </c>
      <c r="Z33" s="11" t="n">
        <f aca="false">C20</f>
        <v>0.9146</v>
      </c>
      <c r="AA33" s="11" t="n">
        <f aca="false">D20</f>
        <v>0.6703</v>
      </c>
      <c r="AB33" s="11" t="n">
        <f aca="false">E20</f>
        <v>0.676</v>
      </c>
      <c r="AC33" s="22" t="n">
        <f aca="false">C39</f>
        <v>0.8605</v>
      </c>
      <c r="AD33" s="22" t="n">
        <f aca="false">D39</f>
        <v>0.7402</v>
      </c>
      <c r="AE33" s="22" t="n">
        <f aca="false">E39</f>
        <v>0.7533</v>
      </c>
      <c r="AF33" s="22" t="n">
        <f aca="false">C57</f>
        <v>0.9712</v>
      </c>
      <c r="AG33" s="22" t="n">
        <f aca="false">D57</f>
        <v>0.8354</v>
      </c>
      <c r="AH33" s="22" t="n">
        <f aca="false">E57</f>
        <v>0.7687</v>
      </c>
      <c r="AI33" s="22" t="n">
        <f aca="false">C75</f>
        <v>0.7437</v>
      </c>
      <c r="AJ33" s="11" t="n">
        <f aca="false">D75</f>
        <v>0.5344</v>
      </c>
      <c r="AK33" s="11" t="n">
        <f aca="false">E75</f>
        <v>0.2832</v>
      </c>
      <c r="AL33" s="17" t="n">
        <f aca="false">C93</f>
        <v>0.8928</v>
      </c>
      <c r="AM33" s="17" t="n">
        <f aca="false">D93</f>
        <v>0.4797</v>
      </c>
      <c r="AN33" s="17" t="n">
        <f aca="false">E93</f>
        <v>0.4995</v>
      </c>
      <c r="AO33" s="12" t="n">
        <f aca="false">AVERAGE(AA33,AD33,AG33,AJ33,AM33)</f>
        <v>0.652</v>
      </c>
      <c r="AV33" s="0" t="s">
        <v>81</v>
      </c>
      <c r="BC33" s="14" t="s">
        <v>56</v>
      </c>
      <c r="BD33" s="15" t="n">
        <f aca="false">AT22</f>
        <v>0.5681</v>
      </c>
      <c r="BE33" s="15" t="n">
        <f aca="false">AU22</f>
        <v>0.4904</v>
      </c>
      <c r="BF33" s="15" t="n">
        <f aca="false">AV22</f>
        <v>0.2504</v>
      </c>
      <c r="BG33" s="15" t="n">
        <f aca="false">AT41</f>
        <v>0.4899</v>
      </c>
      <c r="BH33" s="15" t="n">
        <f aca="false">AU41</f>
        <v>0.4803</v>
      </c>
      <c r="BI33" s="15" t="n">
        <f aca="false">AV41</f>
        <v>0.4988</v>
      </c>
      <c r="BJ33" s="12" t="n">
        <f aca="false">AVERAGE(BE33,BH33)</f>
        <v>0.48535</v>
      </c>
      <c r="CF33" s="7" t="s">
        <v>82</v>
      </c>
      <c r="CG33" s="7" t="n">
        <v>16560</v>
      </c>
      <c r="CH33" s="8" t="n">
        <v>4760</v>
      </c>
      <c r="CK33" s="8"/>
    </row>
    <row r="34" customFormat="false" ht="18" hidden="false" customHeight="true" outlineLevel="0" collapsed="false">
      <c r="E34" s="0" t="s">
        <v>83</v>
      </c>
      <c r="O34" s="0" t="s">
        <v>84</v>
      </c>
      <c r="Y34" s="14" t="s">
        <v>40</v>
      </c>
      <c r="Z34" s="15" t="n">
        <f aca="false">F20</f>
        <v>0.9866</v>
      </c>
      <c r="AA34" s="15" t="n">
        <f aca="false">G20</f>
        <v>0.9235</v>
      </c>
      <c r="AB34" s="15" t="n">
        <f aca="false">H20</f>
        <v>0.9877</v>
      </c>
      <c r="AC34" s="15" t="n">
        <f aca="false">F39</f>
        <v>0.9717</v>
      </c>
      <c r="AD34" s="15" t="n">
        <f aca="false">G39</f>
        <v>0.933</v>
      </c>
      <c r="AE34" s="15" t="n">
        <f aca="false">H39</f>
        <v>0.8856</v>
      </c>
      <c r="AF34" s="15" t="n">
        <f aca="false">F57</f>
        <v>0.999</v>
      </c>
      <c r="AG34" s="15" t="n">
        <f aca="false">G57</f>
        <v>0.9938</v>
      </c>
      <c r="AH34" s="15" t="n">
        <f aca="false">H57</f>
        <v>1</v>
      </c>
      <c r="AI34" s="15" t="n">
        <f aca="false">F75</f>
        <v>0.8259</v>
      </c>
      <c r="AJ34" s="15" t="n">
        <f aca="false">G75</f>
        <v>0.4808</v>
      </c>
      <c r="AK34" s="16" t="n">
        <f aca="false">H75</f>
        <v>0.0409</v>
      </c>
      <c r="AL34" s="17" t="n">
        <f aca="false">F93</f>
        <v>0.8117</v>
      </c>
      <c r="AM34" s="17" t="n">
        <f aca="false">G93</f>
        <v>0.4922</v>
      </c>
      <c r="AN34" s="17" t="n">
        <f aca="false">H93</f>
        <v>0.492</v>
      </c>
      <c r="AO34" s="18" t="n">
        <f aca="false">AVERAGE(AA34,AD34,AG34,AJ34,AM34)</f>
        <v>0.76466</v>
      </c>
      <c r="AR34" s="0" t="s">
        <v>85</v>
      </c>
      <c r="BC34" s="19" t="s">
        <v>59</v>
      </c>
      <c r="BD34" s="21" t="n">
        <f aca="false">AW22</f>
        <v>0.5484</v>
      </c>
      <c r="BE34" s="21" t="n">
        <f aca="false">AX22</f>
        <v>0.48</v>
      </c>
      <c r="BF34" s="21" t="n">
        <f aca="false">AY22</f>
        <v>0.2621</v>
      </c>
      <c r="BG34" s="21" t="n">
        <f aca="false">AW41</f>
        <v>0.5569</v>
      </c>
      <c r="BH34" s="21" t="n">
        <f aca="false">AX41</f>
        <v>0.4839</v>
      </c>
      <c r="BI34" s="21" t="n">
        <f aca="false">AY41</f>
        <v>0.2551</v>
      </c>
      <c r="BJ34" s="23" t="n">
        <f aca="false">AVERAGE(BE34,BH34)</f>
        <v>0.48195</v>
      </c>
      <c r="CF34" s="7" t="s">
        <v>86</v>
      </c>
      <c r="CG34" s="7" t="n">
        <v>12779</v>
      </c>
      <c r="CH34" s="8" t="n">
        <v>11291</v>
      </c>
      <c r="CK34" s="25"/>
    </row>
    <row r="35" customFormat="false" ht="18" hidden="false" customHeight="true" outlineLevel="0" collapsed="false">
      <c r="Y35" s="19" t="s">
        <v>43</v>
      </c>
      <c r="Z35" s="21" t="n">
        <f aca="false">I20</f>
        <v>0.9873</v>
      </c>
      <c r="AA35" s="20" t="n">
        <f aca="false">J20</f>
        <v>0.9274</v>
      </c>
      <c r="AB35" s="20" t="n">
        <f aca="false">K20</f>
        <v>0.9961</v>
      </c>
      <c r="AC35" s="21" t="n">
        <f aca="false">I39</f>
        <v>0.9736</v>
      </c>
      <c r="AD35" s="21" t="n">
        <f aca="false">J39</f>
        <v>0.9371</v>
      </c>
      <c r="AE35" s="21" t="n">
        <f aca="false">K39</f>
        <v>0.8851</v>
      </c>
      <c r="AF35" s="21" t="n">
        <f aca="false">I57</f>
        <v>0.9981</v>
      </c>
      <c r="AG35" s="21" t="n">
        <f aca="false">J57</f>
        <v>0.988</v>
      </c>
      <c r="AH35" s="21" t="n">
        <f aca="false">K57</f>
        <v>0.9781</v>
      </c>
      <c r="AI35" s="21" t="n">
        <f aca="false">I75</f>
        <v>0.8365</v>
      </c>
      <c r="AJ35" s="21" t="n">
        <f aca="false">J75</f>
        <v>0.4855</v>
      </c>
      <c r="AK35" s="21" t="n">
        <f aca="false">K75</f>
        <v>0.0406</v>
      </c>
      <c r="AL35" s="17" t="n">
        <f aca="false">I93</f>
        <v>0.8925</v>
      </c>
      <c r="AM35" s="17" t="n">
        <f aca="false">J93</f>
        <v>0.4785</v>
      </c>
      <c r="AN35" s="17" t="n">
        <f aca="false">K93</f>
        <v>0.4987</v>
      </c>
      <c r="AO35" s="18" t="n">
        <f aca="false">AVERAGE(AA35,AD35,AG35,AJ35,AM35)</f>
        <v>0.7633</v>
      </c>
      <c r="CF35" s="7" t="s">
        <v>87</v>
      </c>
      <c r="CG35" s="7" t="n">
        <v>1427</v>
      </c>
      <c r="CH35" s="8" t="n">
        <v>1586</v>
      </c>
      <c r="CK35" s="8"/>
    </row>
    <row r="36" customFormat="false" ht="18" hidden="false" customHeight="true" outlineLevel="0" collapsed="false">
      <c r="B36" s="2"/>
      <c r="C36" s="3" t="s">
        <v>8</v>
      </c>
      <c r="D36" s="3"/>
      <c r="E36" s="3"/>
      <c r="F36" s="3" t="s">
        <v>9</v>
      </c>
      <c r="G36" s="3"/>
      <c r="H36" s="3"/>
      <c r="I36" s="3" t="s">
        <v>10</v>
      </c>
      <c r="J36" s="3"/>
      <c r="K36" s="3"/>
      <c r="O36" s="2"/>
      <c r="P36" s="3" t="s">
        <v>9</v>
      </c>
      <c r="Q36" s="3"/>
      <c r="R36" s="3"/>
      <c r="S36" s="3" t="s">
        <v>10</v>
      </c>
      <c r="T36" s="3"/>
      <c r="U36" s="3"/>
      <c r="Y36" s="10" t="s">
        <v>52</v>
      </c>
      <c r="Z36" s="11" t="n">
        <f aca="false">C21</f>
        <v>0.9528</v>
      </c>
      <c r="AA36" s="11" t="n">
        <f aca="false">D21</f>
        <v>0.7173</v>
      </c>
      <c r="AB36" s="11" t="n">
        <f aca="false">E21</f>
        <v>0.5042</v>
      </c>
      <c r="AC36" s="11" t="n">
        <f aca="false">C40</f>
        <v>0.9457</v>
      </c>
      <c r="AD36" s="11" t="n">
        <f aca="false">D40</f>
        <v>0.8612</v>
      </c>
      <c r="AE36" s="11" t="n">
        <f aca="false">E40</f>
        <v>0.6916</v>
      </c>
      <c r="AF36" s="11" t="n">
        <f aca="false">C58</f>
        <v>0.9553</v>
      </c>
      <c r="AG36" s="11" t="n">
        <f aca="false">D58</f>
        <v>0.7468</v>
      </c>
      <c r="AH36" s="11" t="n">
        <f aca="false">E58</f>
        <v>0.5841</v>
      </c>
      <c r="AI36" s="11" t="n">
        <f aca="false">C76</f>
        <v>0.8179</v>
      </c>
      <c r="AJ36" s="11" t="n">
        <f aca="false">D76</f>
        <v>0.6717</v>
      </c>
      <c r="AK36" s="11" t="n">
        <f aca="false">E76</f>
        <v>0.5825</v>
      </c>
      <c r="AL36" s="11" t="n">
        <f aca="false">C94</f>
        <v>0.8259</v>
      </c>
      <c r="AM36" s="11" t="n">
        <f aca="false">D94</f>
        <v>0.5174</v>
      </c>
      <c r="AN36" s="11" t="n">
        <f aca="false">E94</f>
        <v>0.5175</v>
      </c>
      <c r="AO36" s="12" t="n">
        <f aca="false">AVERAGE(AA36,AD36,AG36,AJ36,AM36)</f>
        <v>0.70288</v>
      </c>
      <c r="AS36" s="2"/>
      <c r="AT36" s="3" t="s">
        <v>9</v>
      </c>
      <c r="AU36" s="3"/>
      <c r="AV36" s="3"/>
      <c r="AW36" s="3" t="s">
        <v>10</v>
      </c>
      <c r="AX36" s="3"/>
      <c r="AY36" s="3"/>
      <c r="CF36" s="7" t="s">
        <v>88</v>
      </c>
      <c r="CG36" s="7" t="n">
        <v>164</v>
      </c>
      <c r="CH36" s="8" t="n">
        <v>136</v>
      </c>
      <c r="CK36" s="8"/>
    </row>
    <row r="37" customFormat="false" ht="18" hidden="false" customHeight="true" outlineLevel="0" collapsed="false">
      <c r="B37" s="2"/>
      <c r="C37" s="2" t="s">
        <v>20</v>
      </c>
      <c r="D37" s="2" t="s">
        <v>21</v>
      </c>
      <c r="E37" s="2" t="s">
        <v>22</v>
      </c>
      <c r="F37" s="2" t="s">
        <v>20</v>
      </c>
      <c r="G37" s="2" t="s">
        <v>21</v>
      </c>
      <c r="H37" s="2" t="s">
        <v>22</v>
      </c>
      <c r="I37" s="2" t="s">
        <v>20</v>
      </c>
      <c r="J37" s="2" t="s">
        <v>21</v>
      </c>
      <c r="K37" s="2" t="s">
        <v>22</v>
      </c>
      <c r="O37" s="2"/>
      <c r="P37" s="2" t="s">
        <v>20</v>
      </c>
      <c r="Q37" s="2" t="s">
        <v>21</v>
      </c>
      <c r="R37" s="2" t="s">
        <v>22</v>
      </c>
      <c r="S37" s="2" t="s">
        <v>20</v>
      </c>
      <c r="T37" s="2" t="s">
        <v>21</v>
      </c>
      <c r="U37" s="2" t="s">
        <v>22</v>
      </c>
      <c r="Y37" s="14" t="s">
        <v>49</v>
      </c>
      <c r="Z37" s="15" t="n">
        <f aca="false">F21</f>
        <v>0.9857</v>
      </c>
      <c r="AA37" s="15" t="n">
        <f aca="false">G21</f>
        <v>0.917</v>
      </c>
      <c r="AB37" s="16" t="n">
        <f aca="false">H21</f>
        <v>0.9572</v>
      </c>
      <c r="AC37" s="15" t="n">
        <f aca="false">F40</f>
        <v>0.9778</v>
      </c>
      <c r="AD37" s="15" t="n">
        <f aca="false">G40</f>
        <v>0.9434</v>
      </c>
      <c r="AE37" s="15" t="n">
        <f aca="false">H40</f>
        <v>0.8266</v>
      </c>
      <c r="AF37" s="15" t="n">
        <f aca="false">F58</f>
        <v>0.999</v>
      </c>
      <c r="AG37" s="15" t="n">
        <f aca="false">G58</f>
        <v>0.9938</v>
      </c>
      <c r="AH37" s="15" t="n">
        <f aca="false">H58</f>
        <v>1</v>
      </c>
      <c r="AI37" s="15" t="n">
        <f aca="false">F76</f>
        <v>0.8375</v>
      </c>
      <c r="AJ37" s="16" t="n">
        <f aca="false">G76</f>
        <v>0.4854</v>
      </c>
      <c r="AK37" s="16" t="n">
        <f aca="false">H76</f>
        <v>0.0399</v>
      </c>
      <c r="AL37" s="17" t="n">
        <f aca="false">F94</f>
        <v>0.7082</v>
      </c>
      <c r="AM37" s="17" t="n">
        <f aca="false">G94</f>
        <v>0.4854</v>
      </c>
      <c r="AN37" s="17" t="n">
        <f aca="false">H94</f>
        <v>0.5057</v>
      </c>
      <c r="AO37" s="18" t="n">
        <f aca="false">AVERAGE(AA37,AD37,AG37,AJ37,AM37)</f>
        <v>0.765</v>
      </c>
      <c r="AS37" s="2"/>
      <c r="AT37" s="2" t="s">
        <v>20</v>
      </c>
      <c r="AU37" s="2" t="s">
        <v>21</v>
      </c>
      <c r="AV37" s="2" t="s">
        <v>22</v>
      </c>
      <c r="AW37" s="2" t="s">
        <v>20</v>
      </c>
      <c r="AX37" s="2" t="s">
        <v>21</v>
      </c>
      <c r="AY37" s="2" t="s">
        <v>22</v>
      </c>
      <c r="CK37" s="8"/>
    </row>
    <row r="38" customFormat="false" ht="18" hidden="false" customHeight="true" outlineLevel="0" collapsed="false">
      <c r="B38" s="2" t="s">
        <v>26</v>
      </c>
      <c r="C38" s="9" t="n">
        <v>0.853</v>
      </c>
      <c r="D38" s="9" t="n">
        <v>0.7265</v>
      </c>
      <c r="E38" s="9" t="n">
        <v>0.7239</v>
      </c>
      <c r="F38" s="9" t="n">
        <v>0.9697</v>
      </c>
      <c r="G38" s="9" t="n">
        <v>0.9223</v>
      </c>
      <c r="H38" s="9" t="n">
        <v>0.789</v>
      </c>
      <c r="I38" s="9" t="n">
        <v>0.9691</v>
      </c>
      <c r="J38" s="9" t="n">
        <v>0.9211</v>
      </c>
      <c r="K38" s="9" t="n">
        <v>0.7902</v>
      </c>
      <c r="O38" s="2" t="s">
        <v>26</v>
      </c>
      <c r="P38" s="9" t="n">
        <v>0.8688</v>
      </c>
      <c r="Q38" s="9" t="n">
        <v>0.4649</v>
      </c>
      <c r="R38" s="9" t="n">
        <v>0</v>
      </c>
      <c r="S38" s="9" t="n">
        <v>0.3869</v>
      </c>
      <c r="T38" s="9" t="n">
        <v>0.3522</v>
      </c>
      <c r="U38" s="9" t="n">
        <v>0.5995</v>
      </c>
      <c r="Y38" s="19" t="s">
        <v>53</v>
      </c>
      <c r="Z38" s="20" t="n">
        <f aca="false">I21</f>
        <v>0.94</v>
      </c>
      <c r="AA38" s="20" t="n">
        <f aca="false">J21</f>
        <v>0.7689</v>
      </c>
      <c r="AB38" s="21" t="n">
        <f aca="false">K21</f>
        <v>1</v>
      </c>
      <c r="AC38" s="20" t="n">
        <f aca="false">I40</f>
        <v>0.9092</v>
      </c>
      <c r="AD38" s="20" t="n">
        <f aca="false">J40</f>
        <v>0.7694</v>
      </c>
      <c r="AE38" s="20" t="n">
        <f aca="false">K40</f>
        <v>0.5453</v>
      </c>
      <c r="AF38" s="20" t="n">
        <f aca="false">I58</f>
        <v>0.9958</v>
      </c>
      <c r="AG38" s="20" t="n">
        <f aca="false">J58</f>
        <v>0.9734</v>
      </c>
      <c r="AH38" s="20" t="n">
        <f aca="false">K58</f>
        <v>0.953</v>
      </c>
      <c r="AI38" s="20" t="n">
        <f aca="false">I76</f>
        <v>0.7763</v>
      </c>
      <c r="AJ38" s="21" t="n">
        <f aca="false">J76</f>
        <v>0.6046</v>
      </c>
      <c r="AK38" s="20" t="n">
        <f aca="false">K76</f>
        <v>0.4525</v>
      </c>
      <c r="AL38" s="17" t="n">
        <f aca="false">I94</f>
        <v>0.8632</v>
      </c>
      <c r="AM38" s="17" t="n">
        <f aca="false">J94</f>
        <v>0.503</v>
      </c>
      <c r="AN38" s="17" t="n">
        <f aca="false">K94</f>
        <v>0.5058</v>
      </c>
      <c r="AO38" s="18" t="n">
        <f aca="false">AVERAGE(AA38,AD38,AG38,AJ38,AM38)</f>
        <v>0.72386</v>
      </c>
      <c r="AS38" s="2" t="s">
        <v>26</v>
      </c>
      <c r="AT38" s="9" t="n">
        <v>0.3892</v>
      </c>
      <c r="AU38" s="9" t="n">
        <v>0.362</v>
      </c>
      <c r="AV38" s="9" t="n">
        <v>0.8403</v>
      </c>
      <c r="AW38" s="9" t="n">
        <v>0.4858</v>
      </c>
      <c r="AX38" s="9" t="n">
        <v>0.4297</v>
      </c>
      <c r="AY38" s="9" t="n">
        <v>0.243</v>
      </c>
      <c r="CK38" s="8"/>
    </row>
    <row r="39" customFormat="false" ht="18" hidden="false" customHeight="true" outlineLevel="0" collapsed="false">
      <c r="B39" s="2" t="s">
        <v>30</v>
      </c>
      <c r="C39" s="9" t="n">
        <v>0.8605</v>
      </c>
      <c r="D39" s="9" t="n">
        <v>0.7402</v>
      </c>
      <c r="E39" s="9" t="n">
        <v>0.7533</v>
      </c>
      <c r="F39" s="9" t="n">
        <v>0.9717</v>
      </c>
      <c r="G39" s="9" t="n">
        <v>0.933</v>
      </c>
      <c r="H39" s="9" t="n">
        <v>0.8856</v>
      </c>
      <c r="I39" s="9" t="n">
        <v>0.9736</v>
      </c>
      <c r="J39" s="9" t="n">
        <v>0.9371</v>
      </c>
      <c r="K39" s="9" t="n">
        <v>0.8851</v>
      </c>
      <c r="O39" s="2" t="s">
        <v>30</v>
      </c>
      <c r="P39" s="9" t="n">
        <v>0.8691</v>
      </c>
      <c r="Q39" s="9" t="n">
        <v>0.4654</v>
      </c>
      <c r="R39" s="9" t="n">
        <v>0.0004</v>
      </c>
      <c r="S39" s="9" t="n">
        <v>0.8702</v>
      </c>
      <c r="T39" s="9" t="n">
        <v>0.4654</v>
      </c>
      <c r="U39" s="9" t="n">
        <v>0.0001</v>
      </c>
      <c r="Y39" s="10" t="s">
        <v>62</v>
      </c>
      <c r="Z39" s="11" t="n">
        <f aca="false">C22</f>
        <v>0.9159</v>
      </c>
      <c r="AA39" s="11" t="n">
        <f aca="false">D22</f>
        <v>0.669</v>
      </c>
      <c r="AB39" s="11" t="n">
        <f aca="false">E22</f>
        <v>0.6567</v>
      </c>
      <c r="AC39" s="22" t="n">
        <f aca="false">C41</f>
        <v>0.8823</v>
      </c>
      <c r="AD39" s="22" t="n">
        <f aca="false">D41</f>
        <v>0.7805</v>
      </c>
      <c r="AE39" s="11" t="n">
        <f aca="false">E41</f>
        <v>0.842</v>
      </c>
      <c r="AF39" s="22" t="n">
        <f aca="false">C59</f>
        <v>0.9682</v>
      </c>
      <c r="AG39" s="22" t="n">
        <f aca="false">D59</f>
        <v>0.8078</v>
      </c>
      <c r="AH39" s="22" t="n">
        <f aca="false">E59</f>
        <v>0.6668</v>
      </c>
      <c r="AI39" s="22" t="n">
        <f aca="false">C77</f>
        <v>0.8249</v>
      </c>
      <c r="AJ39" s="11" t="n">
        <f aca="false">D77</f>
        <v>0.5661</v>
      </c>
      <c r="AK39" s="11" t="n">
        <f aca="false">E77</f>
        <v>0.2034</v>
      </c>
      <c r="AL39" s="22" t="n">
        <f aca="false">C95</f>
        <v>0.8926</v>
      </c>
      <c r="AM39" s="11" t="n">
        <f aca="false">D95</f>
        <v>0.4773</v>
      </c>
      <c r="AN39" s="11" t="n">
        <f aca="false">E95</f>
        <v>0.4982</v>
      </c>
      <c r="AO39" s="12" t="n">
        <f aca="false">AVERAGE(AA39,AD39,AG39,AJ39,AM39)</f>
        <v>0.66014</v>
      </c>
      <c r="AS39" s="2" t="s">
        <v>30</v>
      </c>
      <c r="AT39" s="9" t="n">
        <v>0.6463</v>
      </c>
      <c r="AU39" s="9" t="n">
        <v>0.3946</v>
      </c>
      <c r="AV39" s="9" t="n">
        <v>0.0021</v>
      </c>
      <c r="AW39" s="9" t="n">
        <v>0.6418</v>
      </c>
      <c r="AX39" s="9" t="n">
        <v>0.4006</v>
      </c>
      <c r="AY39" s="9" t="n">
        <v>0.0105</v>
      </c>
      <c r="CK39" s="8"/>
    </row>
    <row r="40" customFormat="false" ht="18" hidden="false" customHeight="true" outlineLevel="0" collapsed="false">
      <c r="B40" s="2" t="s">
        <v>34</v>
      </c>
      <c r="C40" s="9" t="n">
        <v>0.9457</v>
      </c>
      <c r="D40" s="9" t="n">
        <v>0.8612</v>
      </c>
      <c r="E40" s="9" t="n">
        <v>0.6916</v>
      </c>
      <c r="F40" s="9" t="n">
        <v>0.9778</v>
      </c>
      <c r="G40" s="9" t="n">
        <v>0.9434</v>
      </c>
      <c r="H40" s="9" t="n">
        <v>0.8266</v>
      </c>
      <c r="I40" s="9" t="n">
        <v>0.9092</v>
      </c>
      <c r="J40" s="9" t="n">
        <v>0.7694</v>
      </c>
      <c r="K40" s="9" t="n">
        <v>0.5453</v>
      </c>
      <c r="O40" s="2" t="s">
        <v>34</v>
      </c>
      <c r="P40" s="9" t="n">
        <v>0.7249</v>
      </c>
      <c r="Q40" s="9" t="n">
        <v>0.499</v>
      </c>
      <c r="R40" s="9" t="n">
        <v>0.2059</v>
      </c>
      <c r="S40" s="9" t="n">
        <v>0.785</v>
      </c>
      <c r="T40" s="9" t="n">
        <v>0.4784</v>
      </c>
      <c r="U40" s="9" t="n">
        <v>0.0706</v>
      </c>
      <c r="Y40" s="14" t="s">
        <v>56</v>
      </c>
      <c r="Z40" s="16" t="n">
        <f aca="false">F22</f>
        <v>0.9862</v>
      </c>
      <c r="AA40" s="16" t="n">
        <f aca="false">G22</f>
        <v>0.9189</v>
      </c>
      <c r="AB40" s="16" t="n">
        <f aca="false">H22</f>
        <v>0.9492</v>
      </c>
      <c r="AC40" s="15" t="n">
        <f aca="false">F41</f>
        <v>0.9685</v>
      </c>
      <c r="AD40" s="16" t="n">
        <f aca="false">G41</f>
        <v>0.9263</v>
      </c>
      <c r="AE40" s="15" t="n">
        <f aca="false">H41</f>
        <v>0.8857</v>
      </c>
      <c r="AF40" s="15" t="n">
        <f aca="false">F59</f>
        <v>0.999</v>
      </c>
      <c r="AG40" s="15" t="n">
        <f aca="false">G59</f>
        <v>0.9938</v>
      </c>
      <c r="AH40" s="15" t="n">
        <f aca="false">H59</f>
        <v>1</v>
      </c>
      <c r="AI40" s="16" t="n">
        <f aca="false">F77</f>
        <v>0.8207</v>
      </c>
      <c r="AJ40" s="16" t="n">
        <f aca="false">G77</f>
        <v>0.4668</v>
      </c>
      <c r="AK40" s="16" t="n">
        <f aca="false">H77</f>
        <v>0.0231</v>
      </c>
      <c r="AL40" s="17" t="n">
        <f aca="false">F95</f>
        <v>0.7082</v>
      </c>
      <c r="AM40" s="17" t="n">
        <f aca="false">G95</f>
        <v>0.4854</v>
      </c>
      <c r="AN40" s="17" t="n">
        <f aca="false">H95</f>
        <v>0.5057</v>
      </c>
      <c r="AO40" s="18" t="n">
        <f aca="false">AVERAGE(AA40,AD40,AG40,AJ40,AM40)</f>
        <v>0.75824</v>
      </c>
      <c r="AS40" s="2" t="s">
        <v>34</v>
      </c>
      <c r="AT40" s="9" t="n">
        <v>0.4899</v>
      </c>
      <c r="AU40" s="9" t="n">
        <v>0.4803</v>
      </c>
      <c r="AV40" s="9" t="n">
        <v>0.4988</v>
      </c>
      <c r="AW40" s="9" t="n">
        <v>0.5513</v>
      </c>
      <c r="AX40" s="9" t="n">
        <v>0.4412</v>
      </c>
      <c r="AY40" s="9" t="n">
        <v>0.1516</v>
      </c>
      <c r="CK40" s="8"/>
    </row>
    <row r="41" customFormat="false" ht="18" hidden="false" customHeight="true" outlineLevel="0" collapsed="false">
      <c r="B41" s="2" t="s">
        <v>38</v>
      </c>
      <c r="C41" s="9" t="n">
        <v>0.8823</v>
      </c>
      <c r="D41" s="9" t="n">
        <v>0.7805</v>
      </c>
      <c r="E41" s="9" t="n">
        <v>0.842</v>
      </c>
      <c r="F41" s="9" t="n">
        <v>0.9685</v>
      </c>
      <c r="G41" s="9" t="n">
        <v>0.9263</v>
      </c>
      <c r="H41" s="9" t="n">
        <v>0.8857</v>
      </c>
      <c r="I41" s="9" t="n">
        <v>0.9691</v>
      </c>
      <c r="J41" s="9" t="n">
        <v>0.9275</v>
      </c>
      <c r="K41" s="9" t="n">
        <v>0.8855</v>
      </c>
      <c r="O41" s="2" t="s">
        <v>38</v>
      </c>
      <c r="P41" s="9" t="n">
        <v>0.8688</v>
      </c>
      <c r="Q41" s="9" t="n">
        <v>0.4649</v>
      </c>
      <c r="R41" s="9" t="n">
        <v>0</v>
      </c>
      <c r="S41" s="9" t="n">
        <v>0.5304</v>
      </c>
      <c r="T41" s="9" t="n">
        <v>0.3579</v>
      </c>
      <c r="U41" s="9" t="n">
        <v>0.0465</v>
      </c>
      <c r="Y41" s="19" t="s">
        <v>59</v>
      </c>
      <c r="Z41" s="21" t="n">
        <f aca="false">I22</f>
        <v>0.986</v>
      </c>
      <c r="AA41" s="21" t="n">
        <f aca="false">J22</f>
        <v>0.9197</v>
      </c>
      <c r="AB41" s="21" t="n">
        <f aca="false">K22</f>
        <v>0.9721</v>
      </c>
      <c r="AC41" s="21" t="n">
        <f aca="false">I41</f>
        <v>0.9691</v>
      </c>
      <c r="AD41" s="21" t="n">
        <f aca="false">J41</f>
        <v>0.9275</v>
      </c>
      <c r="AE41" s="21" t="n">
        <f aca="false">K41</f>
        <v>0.8855</v>
      </c>
      <c r="AF41" s="21" t="n">
        <f aca="false">I59</f>
        <v>0.9982</v>
      </c>
      <c r="AG41" s="21" t="n">
        <f aca="false">J59</f>
        <v>0.9888</v>
      </c>
      <c r="AH41" s="21" t="n">
        <f aca="false">K59</f>
        <v>0.9808</v>
      </c>
      <c r="AI41" s="21" t="n">
        <f aca="false">I77</f>
        <v>0.8265</v>
      </c>
      <c r="AJ41" s="21" t="n">
        <f aca="false">J77</f>
        <v>0.4761</v>
      </c>
      <c r="AK41" s="21" t="n">
        <f aca="false">K77</f>
        <v>0.0335</v>
      </c>
      <c r="AL41" s="20" t="n">
        <f aca="false">I95</f>
        <v>0.7865</v>
      </c>
      <c r="AM41" s="20" t="n">
        <f aca="false">J95</f>
        <v>0.4829</v>
      </c>
      <c r="AN41" s="20" t="n">
        <f aca="false">K95</f>
        <v>0.482</v>
      </c>
      <c r="AO41" s="23" t="n">
        <f aca="false">AVERAGE(AA41,AD41,AG41,AJ41,AM41)</f>
        <v>0.759</v>
      </c>
      <c r="AS41" s="2" t="s">
        <v>38</v>
      </c>
      <c r="AT41" s="9" t="n">
        <v>0.4899</v>
      </c>
      <c r="AU41" s="9" t="n">
        <v>0.4803</v>
      </c>
      <c r="AV41" s="9" t="n">
        <v>0.4988</v>
      </c>
      <c r="AW41" s="9" t="n">
        <v>0.5569</v>
      </c>
      <c r="AX41" s="9" t="n">
        <v>0.4839</v>
      </c>
      <c r="AY41" s="9" t="n">
        <v>0.2551</v>
      </c>
      <c r="CK41" s="8"/>
    </row>
    <row r="42" customFormat="false" ht="18" hidden="false" customHeight="true" outlineLevel="0" collapsed="false">
      <c r="CK42" s="8"/>
    </row>
    <row r="43" customFormat="false" ht="18" hidden="false" customHeight="true" outlineLevel="0" collapsed="false">
      <c r="E43" s="0" t="s">
        <v>89</v>
      </c>
      <c r="O43" s="0" t="s">
        <v>90</v>
      </c>
      <c r="Z43" s="0" t="s">
        <v>91</v>
      </c>
      <c r="CT43" s="8"/>
    </row>
    <row r="44" customFormat="false" ht="18" hidden="false" customHeight="true" outlineLevel="0" collapsed="false">
      <c r="CT44" s="8"/>
    </row>
    <row r="45" customFormat="false" ht="18" hidden="false" customHeight="true" outlineLevel="0" collapsed="false">
      <c r="B45" s="2"/>
      <c r="C45" s="3" t="s">
        <v>8</v>
      </c>
      <c r="D45" s="3"/>
      <c r="E45" s="3"/>
      <c r="F45" s="3" t="s">
        <v>9</v>
      </c>
      <c r="G45" s="3"/>
      <c r="H45" s="3"/>
      <c r="I45" s="3" t="s">
        <v>10</v>
      </c>
      <c r="J45" s="3"/>
      <c r="K45" s="3"/>
      <c r="O45" s="2"/>
      <c r="P45" s="3" t="s">
        <v>9</v>
      </c>
      <c r="Q45" s="3"/>
      <c r="R45" s="3"/>
      <c r="S45" s="3" t="s">
        <v>10</v>
      </c>
      <c r="T45" s="3"/>
      <c r="U45" s="3"/>
      <c r="Y45" s="4"/>
      <c r="Z45" s="5" t="s">
        <v>92</v>
      </c>
      <c r="AA45" s="5"/>
      <c r="AB45" s="5"/>
      <c r="AC45" s="5" t="s">
        <v>93</v>
      </c>
      <c r="AD45" s="5"/>
      <c r="AE45" s="5"/>
      <c r="AF45" s="5" t="s">
        <v>94</v>
      </c>
      <c r="AG45" s="5"/>
      <c r="AH45" s="5"/>
      <c r="AI45" s="5" t="s">
        <v>95</v>
      </c>
      <c r="AJ45" s="5"/>
      <c r="AK45" s="5"/>
      <c r="AL45" s="6" t="s">
        <v>16</v>
      </c>
      <c r="CT45" s="25"/>
    </row>
    <row r="46" customFormat="false" ht="18" hidden="false" customHeight="true" outlineLevel="0" collapsed="false">
      <c r="B46" s="2"/>
      <c r="C46" s="2" t="s">
        <v>20</v>
      </c>
      <c r="D46" s="2" t="s">
        <v>21</v>
      </c>
      <c r="E46" s="2" t="s">
        <v>22</v>
      </c>
      <c r="F46" s="2" t="s">
        <v>20</v>
      </c>
      <c r="G46" s="2" t="s">
        <v>21</v>
      </c>
      <c r="H46" s="2" t="s">
        <v>22</v>
      </c>
      <c r="I46" s="2" t="s">
        <v>20</v>
      </c>
      <c r="J46" s="2" t="s">
        <v>21</v>
      </c>
      <c r="K46" s="2" t="s">
        <v>22</v>
      </c>
      <c r="O46" s="2"/>
      <c r="P46" s="2" t="s">
        <v>20</v>
      </c>
      <c r="Q46" s="2" t="s">
        <v>21</v>
      </c>
      <c r="R46" s="2" t="s">
        <v>22</v>
      </c>
      <c r="S46" s="2" t="s">
        <v>20</v>
      </c>
      <c r="T46" s="2" t="s">
        <v>21</v>
      </c>
      <c r="U46" s="2" t="s">
        <v>22</v>
      </c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6"/>
    </row>
    <row r="47" customFormat="false" ht="18" hidden="false" customHeight="true" outlineLevel="0" collapsed="false">
      <c r="B47" s="2" t="s">
        <v>26</v>
      </c>
      <c r="C47" s="9" t="n">
        <v>0.9873</v>
      </c>
      <c r="D47" s="9" t="n">
        <v>0.908</v>
      </c>
      <c r="E47" s="9" t="n">
        <v>0.7183</v>
      </c>
      <c r="F47" s="9" t="n">
        <v>0.9889</v>
      </c>
      <c r="G47" s="9" t="n">
        <v>0.9373</v>
      </c>
      <c r="H47" s="9" t="n">
        <v>1</v>
      </c>
      <c r="I47" s="9" t="n">
        <v>0.9987</v>
      </c>
      <c r="J47" s="9" t="n">
        <v>0.9916</v>
      </c>
      <c r="K47" s="9" t="n">
        <v>1</v>
      </c>
      <c r="O47" s="2" t="s">
        <v>26</v>
      </c>
      <c r="P47" s="9" t="n">
        <v>0.9889</v>
      </c>
      <c r="Q47" s="9" t="n">
        <v>0.9373</v>
      </c>
      <c r="R47" s="9" t="n">
        <v>1</v>
      </c>
      <c r="S47" s="9" t="n">
        <v>0.9781</v>
      </c>
      <c r="T47" s="9" t="n">
        <v>0.8528</v>
      </c>
      <c r="U47" s="9" t="n">
        <v>0.6962</v>
      </c>
      <c r="Y47" s="4"/>
      <c r="Z47" s="2" t="s">
        <v>20</v>
      </c>
      <c r="AA47" s="2" t="s">
        <v>21</v>
      </c>
      <c r="AB47" s="2" t="s">
        <v>22</v>
      </c>
      <c r="AC47" s="2" t="s">
        <v>20</v>
      </c>
      <c r="AD47" s="2" t="s">
        <v>21</v>
      </c>
      <c r="AE47" s="2" t="s">
        <v>22</v>
      </c>
      <c r="AF47" s="2" t="s">
        <v>20</v>
      </c>
      <c r="AG47" s="2" t="s">
        <v>21</v>
      </c>
      <c r="AH47" s="2" t="s">
        <v>22</v>
      </c>
      <c r="AI47" s="2" t="s">
        <v>20</v>
      </c>
      <c r="AJ47" s="2" t="s">
        <v>21</v>
      </c>
      <c r="AK47" s="2" t="s">
        <v>22</v>
      </c>
      <c r="AL47" s="2" t="s">
        <v>21</v>
      </c>
    </row>
    <row r="48" customFormat="false" ht="18" hidden="false" customHeight="true" outlineLevel="0" collapsed="false">
      <c r="B48" s="2" t="s">
        <v>30</v>
      </c>
      <c r="C48" s="9" t="n">
        <v>0.9806</v>
      </c>
      <c r="D48" s="9" t="n">
        <v>0.8798</v>
      </c>
      <c r="E48" s="9" t="n">
        <v>0.7897</v>
      </c>
      <c r="F48" s="9" t="n">
        <v>0.999</v>
      </c>
      <c r="G48" s="9" t="n">
        <v>0.9938</v>
      </c>
      <c r="H48" s="9" t="n">
        <v>1</v>
      </c>
      <c r="I48" s="9" t="n">
        <v>0.9989</v>
      </c>
      <c r="J48" s="9" t="n">
        <v>0.9929</v>
      </c>
      <c r="K48" s="9" t="n">
        <v>1</v>
      </c>
      <c r="O48" s="2" t="s">
        <v>30</v>
      </c>
      <c r="P48" s="9" t="n">
        <v>0.999</v>
      </c>
      <c r="Q48" s="9" t="n">
        <v>0.9938</v>
      </c>
      <c r="R48" s="9" t="n">
        <v>1</v>
      </c>
      <c r="S48" s="9" t="n">
        <v>0.9796</v>
      </c>
      <c r="T48" s="9" t="n">
        <v>0.8662</v>
      </c>
      <c r="U48" s="9" t="n">
        <v>0.7423</v>
      </c>
      <c r="Y48" s="14" t="s">
        <v>31</v>
      </c>
      <c r="Z48" s="17" t="n">
        <f aca="false">P10</f>
        <v>0.8563</v>
      </c>
      <c r="AA48" s="17" t="n">
        <f aca="false">Q10</f>
        <v>0.6411</v>
      </c>
      <c r="AB48" s="13" t="n">
        <f aca="false">R10</f>
        <v>1</v>
      </c>
      <c r="AC48" s="13" t="n">
        <f aca="false">P29</f>
        <v>0.8691</v>
      </c>
      <c r="AD48" s="17" t="n">
        <f aca="false">Q29</f>
        <v>0.465</v>
      </c>
      <c r="AE48" s="17" t="n">
        <f aca="false">R29</f>
        <v>0</v>
      </c>
      <c r="AF48" s="15" t="n">
        <f aca="false">P47</f>
        <v>0.9889</v>
      </c>
      <c r="AG48" s="15" t="n">
        <f aca="false">Q47</f>
        <v>0.9373</v>
      </c>
      <c r="AH48" s="15" t="n">
        <f aca="false">R47</f>
        <v>1</v>
      </c>
      <c r="AI48" s="15" t="n">
        <f aca="false">P65</f>
        <v>0.983</v>
      </c>
      <c r="AJ48" s="15" t="n">
        <f aca="false">Q65</f>
        <v>0.9575</v>
      </c>
      <c r="AK48" s="15" t="n">
        <f aca="false">R65</f>
        <v>0.8728</v>
      </c>
      <c r="AL48" s="18" t="n">
        <f aca="false">AVERAGE(AA48,AD48,AG48,AJ48)</f>
        <v>0.750225</v>
      </c>
    </row>
    <row r="49" customFormat="false" ht="18" hidden="false" customHeight="true" outlineLevel="0" collapsed="false">
      <c r="B49" s="2" t="s">
        <v>34</v>
      </c>
      <c r="C49" s="9" t="n">
        <v>0.9477</v>
      </c>
      <c r="D49" s="9" t="n">
        <v>0.7472</v>
      </c>
      <c r="E49" s="9" t="n">
        <v>0.6962</v>
      </c>
      <c r="F49" s="9" t="n">
        <v>0.9889</v>
      </c>
      <c r="G49" s="9" t="n">
        <v>0.9373</v>
      </c>
      <c r="H49" s="9" t="n">
        <v>1</v>
      </c>
      <c r="I49" s="9" t="n">
        <v>0.9901</v>
      </c>
      <c r="J49" s="9" t="n">
        <v>0.9436</v>
      </c>
      <c r="K49" s="9" t="n">
        <v>1</v>
      </c>
      <c r="O49" s="2" t="s">
        <v>34</v>
      </c>
      <c r="P49" s="9" t="n">
        <v>0.9889</v>
      </c>
      <c r="Q49" s="9" t="n">
        <v>0.9373</v>
      </c>
      <c r="R49" s="9" t="n">
        <v>1</v>
      </c>
      <c r="S49" s="9" t="n">
        <v>0.9607</v>
      </c>
      <c r="T49" s="9" t="n">
        <v>0.8243</v>
      </c>
      <c r="U49" s="9" t="n">
        <v>1</v>
      </c>
      <c r="Y49" s="19" t="s">
        <v>35</v>
      </c>
      <c r="Z49" s="20" t="n">
        <f aca="false">S10</f>
        <v>0.9987</v>
      </c>
      <c r="AA49" s="20" t="n">
        <f aca="false">T10</f>
        <v>0.9916</v>
      </c>
      <c r="AB49" s="21" t="n">
        <f aca="false">U10</f>
        <v>1</v>
      </c>
      <c r="AC49" s="20" t="n">
        <f aca="false">S29</f>
        <v>0.4276</v>
      </c>
      <c r="AD49" s="20" t="n">
        <f aca="false">T29</f>
        <v>0.3607</v>
      </c>
      <c r="AE49" s="20" t="n">
        <f aca="false">U29</f>
        <v>0.4012</v>
      </c>
      <c r="AF49" s="20" t="n">
        <f aca="false">S47</f>
        <v>0.9781</v>
      </c>
      <c r="AG49" s="20" t="n">
        <f aca="false">T47</f>
        <v>0.8528</v>
      </c>
      <c r="AH49" s="21" t="n">
        <f aca="false">U47</f>
        <v>0.6962</v>
      </c>
      <c r="AI49" s="21" t="n">
        <f aca="false">S65</f>
        <v>0.9833</v>
      </c>
      <c r="AJ49" s="21" t="n">
        <f aca="false">T65</f>
        <v>0.9584</v>
      </c>
      <c r="AK49" s="21" t="n">
        <f aca="false">U65</f>
        <v>0.8776</v>
      </c>
      <c r="AL49" s="23" t="n">
        <f aca="false">AVERAGE(AA49,AD49,AG49,AJ49)</f>
        <v>0.790875</v>
      </c>
    </row>
    <row r="50" customFormat="false" ht="18" hidden="false" customHeight="true" outlineLevel="0" collapsed="false">
      <c r="B50" s="2" t="s">
        <v>38</v>
      </c>
      <c r="C50" s="9" t="n">
        <v>0.9772</v>
      </c>
      <c r="D50" s="9" t="n">
        <v>0.8526</v>
      </c>
      <c r="E50" s="9" t="n">
        <v>0.7063</v>
      </c>
      <c r="F50" s="9" t="n">
        <v>0.999</v>
      </c>
      <c r="G50" s="9" t="n">
        <v>0.9938</v>
      </c>
      <c r="H50" s="9" t="n">
        <v>1</v>
      </c>
      <c r="I50" s="9" t="n">
        <v>0.9987</v>
      </c>
      <c r="J50" s="9" t="n">
        <v>0.992</v>
      </c>
      <c r="K50" s="9" t="n">
        <v>1</v>
      </c>
      <c r="O50" s="2" t="s">
        <v>38</v>
      </c>
      <c r="P50" s="9" t="n">
        <v>0.999</v>
      </c>
      <c r="Q50" s="9" t="n">
        <v>0.9938</v>
      </c>
      <c r="R50" s="9" t="n">
        <v>1</v>
      </c>
      <c r="S50" s="9" t="n">
        <v>0.9823</v>
      </c>
      <c r="T50" s="9" t="n">
        <v>0.8892</v>
      </c>
      <c r="U50" s="9" t="n">
        <v>0.8236</v>
      </c>
      <c r="Y50" s="14" t="s">
        <v>40</v>
      </c>
      <c r="Z50" s="16" t="n">
        <f aca="false">P11</f>
        <v>0.9312</v>
      </c>
      <c r="AA50" s="16" t="n">
        <f aca="false">Q11</f>
        <v>0.7533</v>
      </c>
      <c r="AB50" s="16" t="n">
        <f aca="false">R11</f>
        <v>1</v>
      </c>
      <c r="AC50" s="15" t="n">
        <f aca="false">P30</f>
        <v>0.8696</v>
      </c>
      <c r="AD50" s="15" t="n">
        <f aca="false">Q30</f>
        <v>0.4653</v>
      </c>
      <c r="AE50" s="15" t="n">
        <f aca="false">R30</f>
        <v>0.0002</v>
      </c>
      <c r="AF50" s="15" t="n">
        <f aca="false">P48</f>
        <v>0.999</v>
      </c>
      <c r="AG50" s="15" t="n">
        <f aca="false">Q48</f>
        <v>0.9938</v>
      </c>
      <c r="AH50" s="15" t="n">
        <f aca="false">R48</f>
        <v>1</v>
      </c>
      <c r="AI50" s="15" t="n">
        <f aca="false">P66</f>
        <v>0.9782</v>
      </c>
      <c r="AJ50" s="15" t="n">
        <f aca="false">Q66</f>
        <v>0.9444</v>
      </c>
      <c r="AK50" s="15" t="n">
        <f aca="false">R66</f>
        <v>0.8287</v>
      </c>
      <c r="AL50" s="18" t="n">
        <f aca="false">AVERAGE(AA50,AD50,AG50,AJ50)</f>
        <v>0.7892</v>
      </c>
    </row>
    <row r="51" customFormat="false" ht="18" hidden="false" customHeight="true" outlineLevel="0" collapsed="false">
      <c r="Y51" s="19" t="s">
        <v>43</v>
      </c>
      <c r="Z51" s="21" t="n">
        <f aca="false">S11</f>
        <v>0.9856</v>
      </c>
      <c r="AA51" s="21" t="n">
        <f aca="false">T11</f>
        <v>0.9217</v>
      </c>
      <c r="AB51" s="21" t="n">
        <f aca="false">U11</f>
        <v>1</v>
      </c>
      <c r="AC51" s="21" t="n">
        <f aca="false">S30</f>
        <v>0.8683</v>
      </c>
      <c r="AD51" s="21" t="n">
        <f aca="false">T30</f>
        <v>0.4653</v>
      </c>
      <c r="AE51" s="21" t="n">
        <f aca="false">U30</f>
        <v>0.0006</v>
      </c>
      <c r="AF51" s="21" t="n">
        <f aca="false">S48</f>
        <v>0.9796</v>
      </c>
      <c r="AG51" s="21" t="n">
        <f aca="false">T48</f>
        <v>0.8662</v>
      </c>
      <c r="AH51" s="21" t="n">
        <f aca="false">U48</f>
        <v>0.7423</v>
      </c>
      <c r="AI51" s="21" t="n">
        <f aca="false">S66</f>
        <v>0.979</v>
      </c>
      <c r="AJ51" s="21" t="n">
        <f aca="false">T66</f>
        <v>0.9471</v>
      </c>
      <c r="AK51" s="21" t="n">
        <f aca="false">U66</f>
        <v>0.8452</v>
      </c>
      <c r="AL51" s="26" t="n">
        <f aca="false">AVERAGE(AA51,AD51,AG51,AJ51)</f>
        <v>0.800075</v>
      </c>
    </row>
    <row r="52" customFormat="false" ht="18" hidden="false" customHeight="true" outlineLevel="0" collapsed="false">
      <c r="E52" s="0" t="s">
        <v>96</v>
      </c>
      <c r="O52" s="0" t="s">
        <v>97</v>
      </c>
      <c r="Y52" s="14" t="s">
        <v>49</v>
      </c>
      <c r="Z52" s="15" t="n">
        <f aca="false">P12</f>
        <v>0.8644</v>
      </c>
      <c r="AA52" s="15" t="n">
        <f aca="false">Q12</f>
        <v>0.6504</v>
      </c>
      <c r="AB52" s="15" t="n">
        <f aca="false">R12</f>
        <v>1</v>
      </c>
      <c r="AC52" s="15" t="n">
        <f aca="false">P31</f>
        <v>0.7507</v>
      </c>
      <c r="AD52" s="15" t="n">
        <f aca="false">Q31</f>
        <v>0.5784</v>
      </c>
      <c r="AE52" s="15" t="n">
        <f aca="false">R31</f>
        <v>0.4299</v>
      </c>
      <c r="AF52" s="16" t="n">
        <f aca="false">P49</f>
        <v>0.9889</v>
      </c>
      <c r="AG52" s="16" t="n">
        <f aca="false">Q49</f>
        <v>0.9373</v>
      </c>
      <c r="AH52" s="15" t="n">
        <f aca="false">R49</f>
        <v>1</v>
      </c>
      <c r="AI52" s="15" t="n">
        <f aca="false">P67</f>
        <v>0.9829</v>
      </c>
      <c r="AJ52" s="15" t="n">
        <f aca="false">Q67</f>
        <v>0.9573</v>
      </c>
      <c r="AK52" s="16" t="n">
        <f aca="false">R67</f>
        <v>0.8729</v>
      </c>
      <c r="AL52" s="12" t="n">
        <f aca="false">AVERAGE(AA52,AD52,AG52,AJ52)</f>
        <v>0.78085</v>
      </c>
    </row>
    <row r="53" customFormat="false" ht="18" hidden="false" customHeight="true" outlineLevel="0" collapsed="false">
      <c r="Y53" s="19" t="s">
        <v>53</v>
      </c>
      <c r="Z53" s="20" t="n">
        <f aca="false">S12</f>
        <v>0.9606</v>
      </c>
      <c r="AA53" s="20" t="n">
        <f aca="false">T12</f>
        <v>0.8272</v>
      </c>
      <c r="AB53" s="20" t="n">
        <f aca="false">U12</f>
        <v>1</v>
      </c>
      <c r="AC53" s="21" t="n">
        <f aca="false">S31</f>
        <v>0.7307</v>
      </c>
      <c r="AD53" s="21" t="n">
        <f aca="false">T31</f>
        <v>0.529</v>
      </c>
      <c r="AE53" s="21" t="n">
        <f aca="false">U31</f>
        <v>0.2942</v>
      </c>
      <c r="AF53" s="21" t="n">
        <f aca="false">S49</f>
        <v>0.9607</v>
      </c>
      <c r="AG53" s="21" t="n">
        <f aca="false">T49</f>
        <v>0.8243</v>
      </c>
      <c r="AH53" s="21" t="n">
        <f aca="false">U49</f>
        <v>1</v>
      </c>
      <c r="AI53" s="21" t="n">
        <f aca="false">S67</f>
        <v>0.9508</v>
      </c>
      <c r="AJ53" s="21" t="n">
        <f aca="false">T67</f>
        <v>0.8922</v>
      </c>
      <c r="AK53" s="21" t="n">
        <f aca="false">U67</f>
        <v>0.8917</v>
      </c>
      <c r="AL53" s="27" t="n">
        <f aca="false">AVERAGE(AA53,AD53,AG53,AJ53)</f>
        <v>0.768175</v>
      </c>
    </row>
    <row r="54" customFormat="false" ht="18" hidden="false" customHeight="true" outlineLevel="0" collapsed="false">
      <c r="B54" s="2"/>
      <c r="C54" s="3" t="s">
        <v>8</v>
      </c>
      <c r="D54" s="3"/>
      <c r="E54" s="3"/>
      <c r="F54" s="3" t="s">
        <v>9</v>
      </c>
      <c r="G54" s="3"/>
      <c r="H54" s="3"/>
      <c r="I54" s="3" t="s">
        <v>10</v>
      </c>
      <c r="J54" s="3"/>
      <c r="K54" s="3"/>
      <c r="O54" s="2"/>
      <c r="P54" s="3" t="s">
        <v>9</v>
      </c>
      <c r="Q54" s="3"/>
      <c r="R54" s="3"/>
      <c r="S54" s="3" t="s">
        <v>10</v>
      </c>
      <c r="T54" s="3"/>
      <c r="U54" s="3"/>
      <c r="Y54" s="14" t="s">
        <v>56</v>
      </c>
      <c r="Z54" s="16" t="n">
        <f aca="false">P13</f>
        <v>0.9081</v>
      </c>
      <c r="AA54" s="16" t="n">
        <f aca="false">Q13</f>
        <v>0.7106</v>
      </c>
      <c r="AB54" s="15" t="n">
        <f aca="false">R13</f>
        <v>1</v>
      </c>
      <c r="AC54" s="15" t="n">
        <f aca="false">P32</f>
        <v>0.8692</v>
      </c>
      <c r="AD54" s="15" t="n">
        <f aca="false">Q32</f>
        <v>0.465</v>
      </c>
      <c r="AE54" s="15" t="n">
        <f aca="false">R32</f>
        <v>0</v>
      </c>
      <c r="AF54" s="15" t="n">
        <f aca="false">P50</f>
        <v>0.999</v>
      </c>
      <c r="AG54" s="15" t="n">
        <f aca="false">Q50</f>
        <v>0.9938</v>
      </c>
      <c r="AH54" s="15" t="n">
        <f aca="false">R50</f>
        <v>1</v>
      </c>
      <c r="AI54" s="15" t="n">
        <f aca="false">P68</f>
        <v>0.9843</v>
      </c>
      <c r="AJ54" s="15" t="n">
        <f aca="false">Q68</f>
        <v>0.9606</v>
      </c>
      <c r="AK54" s="15" t="n">
        <f aca="false">R68</f>
        <v>0.8728</v>
      </c>
      <c r="AL54" s="28" t="n">
        <f aca="false">AVERAGE(AA54,AD54,AG54,AJ54)</f>
        <v>0.7825</v>
      </c>
    </row>
    <row r="55" customFormat="false" ht="18" hidden="false" customHeight="true" outlineLevel="0" collapsed="false">
      <c r="B55" s="2"/>
      <c r="C55" s="2" t="s">
        <v>20</v>
      </c>
      <c r="D55" s="2" t="s">
        <v>21</v>
      </c>
      <c r="E55" s="2" t="s">
        <v>22</v>
      </c>
      <c r="F55" s="2" t="s">
        <v>20</v>
      </c>
      <c r="G55" s="2" t="s">
        <v>21</v>
      </c>
      <c r="H55" s="2" t="s">
        <v>22</v>
      </c>
      <c r="I55" s="2" t="s">
        <v>20</v>
      </c>
      <c r="J55" s="2" t="s">
        <v>21</v>
      </c>
      <c r="K55" s="2" t="s">
        <v>22</v>
      </c>
      <c r="O55" s="2"/>
      <c r="P55" s="2" t="s">
        <v>20</v>
      </c>
      <c r="Q55" s="2" t="s">
        <v>21</v>
      </c>
      <c r="R55" s="2" t="s">
        <v>22</v>
      </c>
      <c r="S55" s="2" t="s">
        <v>20</v>
      </c>
      <c r="T55" s="2" t="s">
        <v>21</v>
      </c>
      <c r="U55" s="2" t="s">
        <v>22</v>
      </c>
      <c r="Y55" s="19" t="s">
        <v>59</v>
      </c>
      <c r="Z55" s="21" t="n">
        <f aca="false">S13</f>
        <v>0.9987</v>
      </c>
      <c r="AA55" s="21" t="n">
        <f aca="false">T13</f>
        <v>0.9916</v>
      </c>
      <c r="AB55" s="21" t="n">
        <f aca="false">U13</f>
        <v>1</v>
      </c>
      <c r="AC55" s="21" t="n">
        <f aca="false">S32</f>
        <v>0.5769</v>
      </c>
      <c r="AD55" s="21" t="n">
        <f aca="false">T32</f>
        <v>0.3785</v>
      </c>
      <c r="AE55" s="21" t="n">
        <f aca="false">U32</f>
        <v>0.0458</v>
      </c>
      <c r="AF55" s="21" t="n">
        <f aca="false">S50</f>
        <v>0.9823</v>
      </c>
      <c r="AG55" s="21" t="n">
        <f aca="false">T50</f>
        <v>0.8892</v>
      </c>
      <c r="AH55" s="21" t="n">
        <f aca="false">U50</f>
        <v>0.8236</v>
      </c>
      <c r="AI55" s="21" t="n">
        <f aca="false">S68</f>
        <v>0.9842</v>
      </c>
      <c r="AJ55" s="21" t="n">
        <f aca="false">T68</f>
        <v>0.9605</v>
      </c>
      <c r="AK55" s="21" t="n">
        <f aca="false">U68</f>
        <v>0.8728</v>
      </c>
      <c r="AL55" s="23" t="n">
        <f aca="false">AVERAGE(AA55,AD55,AG55,AJ55)</f>
        <v>0.80495</v>
      </c>
    </row>
    <row r="56" customFormat="false" ht="18" hidden="false" customHeight="true" outlineLevel="0" collapsed="false">
      <c r="B56" s="2" t="s">
        <v>26</v>
      </c>
      <c r="C56" s="9" t="n">
        <v>0.9655</v>
      </c>
      <c r="D56" s="9" t="n">
        <v>0.7821</v>
      </c>
      <c r="E56" s="9" t="n">
        <v>0.5859</v>
      </c>
      <c r="F56" s="9" t="n">
        <v>0.999</v>
      </c>
      <c r="G56" s="9" t="n">
        <v>0.9938</v>
      </c>
      <c r="H56" s="9" t="n">
        <v>1</v>
      </c>
      <c r="I56" s="9" t="n">
        <v>0.9979</v>
      </c>
      <c r="J56" s="9" t="n">
        <v>0.9864</v>
      </c>
      <c r="K56" s="9" t="n">
        <v>0.9717</v>
      </c>
      <c r="O56" s="2" t="s">
        <v>26</v>
      </c>
      <c r="P56" s="9" t="n">
        <v>0.999</v>
      </c>
      <c r="Q56" s="9" t="n">
        <v>0.9938</v>
      </c>
      <c r="R56" s="9" t="n">
        <v>1</v>
      </c>
      <c r="S56" s="9" t="n">
        <v>0.9828</v>
      </c>
      <c r="T56" s="9" t="n">
        <v>0.8962</v>
      </c>
      <c r="U56" s="9" t="n">
        <v>0.8739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customFormat="false" ht="18" hidden="false" customHeight="true" outlineLevel="0" collapsed="false">
      <c r="B57" s="2" t="s">
        <v>30</v>
      </c>
      <c r="C57" s="9" t="n">
        <v>0.9712</v>
      </c>
      <c r="D57" s="9" t="n">
        <v>0.8354</v>
      </c>
      <c r="E57" s="9" t="n">
        <v>0.7687</v>
      </c>
      <c r="F57" s="9" t="n">
        <v>0.999</v>
      </c>
      <c r="G57" s="9" t="n">
        <v>0.9938</v>
      </c>
      <c r="H57" s="9" t="n">
        <v>1</v>
      </c>
      <c r="I57" s="9" t="n">
        <v>0.9981</v>
      </c>
      <c r="J57" s="9" t="n">
        <v>0.988</v>
      </c>
      <c r="K57" s="9" t="n">
        <v>0.9781</v>
      </c>
      <c r="O57" s="2" t="s">
        <v>30</v>
      </c>
      <c r="P57" s="9" t="n">
        <v>0.999</v>
      </c>
      <c r="Q57" s="9" t="n">
        <v>0.9938</v>
      </c>
      <c r="R57" s="9" t="n">
        <v>1</v>
      </c>
      <c r="S57" s="9" t="n">
        <v>0.986</v>
      </c>
      <c r="T57" s="9" t="n">
        <v>0.9191</v>
      </c>
      <c r="U57" s="9" t="n">
        <v>0.9628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customFormat="false" ht="18" hidden="false" customHeight="true" outlineLevel="0" collapsed="false">
      <c r="B58" s="2" t="s">
        <v>34</v>
      </c>
      <c r="C58" s="9" t="n">
        <v>0.9553</v>
      </c>
      <c r="D58" s="9" t="n">
        <v>0.7468</v>
      </c>
      <c r="E58" s="9" t="n">
        <v>0.5841</v>
      </c>
      <c r="F58" s="9" t="n">
        <v>0.999</v>
      </c>
      <c r="G58" s="9" t="n">
        <v>0.9938</v>
      </c>
      <c r="H58" s="9" t="n">
        <v>1</v>
      </c>
      <c r="I58" s="9" t="n">
        <v>0.9958</v>
      </c>
      <c r="J58" s="9" t="n">
        <v>0.9734</v>
      </c>
      <c r="K58" s="9" t="n">
        <v>0.953</v>
      </c>
      <c r="O58" s="2" t="s">
        <v>34</v>
      </c>
      <c r="P58" s="9" t="n">
        <v>0.999</v>
      </c>
      <c r="Q58" s="9" t="n">
        <v>0.9938</v>
      </c>
      <c r="R58" s="9" t="n">
        <v>1</v>
      </c>
      <c r="S58" s="9" t="n">
        <v>0.9398</v>
      </c>
      <c r="T58" s="9" t="n">
        <v>0.7684</v>
      </c>
      <c r="U58" s="9" t="n">
        <v>1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customFormat="false" ht="18" hidden="false" customHeight="true" outlineLevel="0" collapsed="false">
      <c r="B59" s="2" t="s">
        <v>38</v>
      </c>
      <c r="C59" s="9" t="n">
        <v>0.9682</v>
      </c>
      <c r="D59" s="9" t="n">
        <v>0.8078</v>
      </c>
      <c r="E59" s="9" t="n">
        <v>0.6668</v>
      </c>
      <c r="F59" s="9" t="n">
        <v>0.999</v>
      </c>
      <c r="G59" s="9" t="n">
        <v>0.9938</v>
      </c>
      <c r="H59" s="9" t="n">
        <v>1</v>
      </c>
      <c r="I59" s="9" t="n">
        <v>0.9982</v>
      </c>
      <c r="J59" s="9" t="n">
        <v>0.9888</v>
      </c>
      <c r="K59" s="9" t="n">
        <v>0.9808</v>
      </c>
      <c r="O59" s="2" t="s">
        <v>38</v>
      </c>
      <c r="P59" s="9" t="n">
        <v>0.999</v>
      </c>
      <c r="Q59" s="9" t="n">
        <v>0.9938</v>
      </c>
      <c r="R59" s="9" t="n">
        <v>1</v>
      </c>
      <c r="S59" s="9" t="n">
        <v>0.9866</v>
      </c>
      <c r="T59" s="9" t="n">
        <v>0.9239</v>
      </c>
      <c r="U59" s="9" t="n">
        <v>0.989</v>
      </c>
      <c r="Z59" s="0" t="s">
        <v>69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customFormat="false" ht="18" hidden="false" customHeight="true" outlineLevel="0" collapsed="false"/>
    <row r="61" customFormat="false" ht="18" hidden="false" customHeight="true" outlineLevel="0" collapsed="false">
      <c r="E61" s="0" t="s">
        <v>98</v>
      </c>
      <c r="O61" s="0" t="s">
        <v>99</v>
      </c>
      <c r="Y61" s="4"/>
      <c r="Z61" s="5" t="s">
        <v>92</v>
      </c>
      <c r="AA61" s="5"/>
      <c r="AB61" s="5"/>
      <c r="AC61" s="5" t="s">
        <v>93</v>
      </c>
      <c r="AD61" s="5"/>
      <c r="AE61" s="5"/>
      <c r="AF61" s="5" t="s">
        <v>94</v>
      </c>
      <c r="AG61" s="5"/>
      <c r="AH61" s="5"/>
      <c r="AI61" s="5" t="s">
        <v>95</v>
      </c>
      <c r="AJ61" s="5"/>
      <c r="AK61" s="5"/>
      <c r="AL61" s="6" t="s">
        <v>16</v>
      </c>
    </row>
    <row r="62" customFormat="false" ht="18" hidden="false" customHeight="true" outlineLevel="0" collapsed="false">
      <c r="Y62" s="4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6"/>
    </row>
    <row r="63" customFormat="false" ht="18" hidden="false" customHeight="true" outlineLevel="0" collapsed="false">
      <c r="B63" s="2"/>
      <c r="C63" s="3" t="s">
        <v>8</v>
      </c>
      <c r="D63" s="3"/>
      <c r="E63" s="3"/>
      <c r="F63" s="3" t="s">
        <v>9</v>
      </c>
      <c r="G63" s="3"/>
      <c r="H63" s="3"/>
      <c r="I63" s="3" t="s">
        <v>10</v>
      </c>
      <c r="J63" s="3"/>
      <c r="K63" s="3"/>
      <c r="O63" s="2"/>
      <c r="P63" s="3" t="s">
        <v>9</v>
      </c>
      <c r="Q63" s="3"/>
      <c r="R63" s="3"/>
      <c r="S63" s="3" t="s">
        <v>10</v>
      </c>
      <c r="T63" s="3"/>
      <c r="U63" s="3"/>
      <c r="Y63" s="4"/>
      <c r="Z63" s="2" t="s">
        <v>20</v>
      </c>
      <c r="AA63" s="2" t="s">
        <v>21</v>
      </c>
      <c r="AB63" s="2" t="s">
        <v>22</v>
      </c>
      <c r="AC63" s="2" t="s">
        <v>20</v>
      </c>
      <c r="AD63" s="2" t="s">
        <v>21</v>
      </c>
      <c r="AE63" s="2" t="s">
        <v>22</v>
      </c>
      <c r="AF63" s="2" t="s">
        <v>20</v>
      </c>
      <c r="AG63" s="2" t="s">
        <v>21</v>
      </c>
      <c r="AH63" s="2" t="s">
        <v>22</v>
      </c>
      <c r="AI63" s="2" t="s">
        <v>20</v>
      </c>
      <c r="AJ63" s="2" t="s">
        <v>21</v>
      </c>
      <c r="AK63" s="2" t="s">
        <v>22</v>
      </c>
      <c r="AL63" s="2" t="s">
        <v>21</v>
      </c>
    </row>
    <row r="64" customFormat="false" ht="18" hidden="false" customHeight="true" outlineLevel="0" collapsed="false">
      <c r="B64" s="2"/>
      <c r="C64" s="2" t="s">
        <v>20</v>
      </c>
      <c r="D64" s="2" t="s">
        <v>21</v>
      </c>
      <c r="E64" s="2" t="s">
        <v>22</v>
      </c>
      <c r="F64" s="2" t="s">
        <v>20</v>
      </c>
      <c r="G64" s="2" t="s">
        <v>21</v>
      </c>
      <c r="H64" s="2" t="s">
        <v>22</v>
      </c>
      <c r="I64" s="2" t="s">
        <v>20</v>
      </c>
      <c r="J64" s="2" t="s">
        <v>21</v>
      </c>
      <c r="K64" s="2" t="s">
        <v>22</v>
      </c>
      <c r="O64" s="2"/>
      <c r="P64" s="2" t="s">
        <v>20</v>
      </c>
      <c r="Q64" s="2" t="s">
        <v>21</v>
      </c>
      <c r="R64" s="2" t="s">
        <v>22</v>
      </c>
      <c r="S64" s="2" t="s">
        <v>20</v>
      </c>
      <c r="T64" s="2" t="s">
        <v>21</v>
      </c>
      <c r="U64" s="2" t="s">
        <v>22</v>
      </c>
      <c r="Y64" s="14" t="s">
        <v>31</v>
      </c>
      <c r="Z64" s="15" t="n">
        <f aca="false">P19</f>
        <v>0.9985</v>
      </c>
      <c r="AA64" s="15" t="n">
        <f aca="false">Q19</f>
        <v>0.9907</v>
      </c>
      <c r="AB64" s="15" t="n">
        <f aca="false">R19</f>
        <v>0.988</v>
      </c>
      <c r="AC64" s="15" t="n">
        <f aca="false">P38</f>
        <v>0.8688</v>
      </c>
      <c r="AD64" s="15" t="n">
        <f aca="false">Q38</f>
        <v>0.4649</v>
      </c>
      <c r="AE64" s="15" t="n">
        <f aca="false">R38</f>
        <v>0</v>
      </c>
      <c r="AF64" s="15" t="n">
        <f aca="false">P56</f>
        <v>0.999</v>
      </c>
      <c r="AG64" s="15" t="n">
        <f aca="false">Q56</f>
        <v>0.9938</v>
      </c>
      <c r="AH64" s="15" t="n">
        <f aca="false">R56</f>
        <v>1</v>
      </c>
      <c r="AI64" s="15" t="n">
        <f aca="false">P74</f>
        <v>0.9711</v>
      </c>
      <c r="AJ64" s="15" t="n">
        <f aca="false">Q74</f>
        <v>0.9269</v>
      </c>
      <c r="AK64" s="15" t="n">
        <f aca="false">R74</f>
        <v>0.808</v>
      </c>
      <c r="AL64" s="18" t="n">
        <f aca="false">AVERAGE(AA64,AD64,AG64,AJ64)</f>
        <v>0.844075</v>
      </c>
    </row>
    <row r="65" customFormat="false" ht="18" hidden="false" customHeight="true" outlineLevel="0" collapsed="false">
      <c r="B65" s="2" t="s">
        <v>26</v>
      </c>
      <c r="C65" s="9" t="n">
        <v>0.7984</v>
      </c>
      <c r="D65" s="9" t="n">
        <v>0.508</v>
      </c>
      <c r="E65" s="9" t="n">
        <v>0.1165</v>
      </c>
      <c r="F65" s="9" t="n">
        <v>0.8268</v>
      </c>
      <c r="G65" s="9" t="n">
        <v>0.4683</v>
      </c>
      <c r="H65" s="9" t="n">
        <v>0.0219</v>
      </c>
      <c r="I65" s="9" t="n">
        <v>0.8379</v>
      </c>
      <c r="J65" s="9" t="n">
        <v>0.4858</v>
      </c>
      <c r="K65" s="9" t="n">
        <v>0.0401</v>
      </c>
      <c r="O65" s="2" t="s">
        <v>26</v>
      </c>
      <c r="P65" s="9" t="n">
        <v>0.983</v>
      </c>
      <c r="Q65" s="9" t="n">
        <v>0.9575</v>
      </c>
      <c r="R65" s="9" t="n">
        <v>0.8728</v>
      </c>
      <c r="S65" s="9" t="n">
        <v>0.9833</v>
      </c>
      <c r="T65" s="9" t="n">
        <v>0.9584</v>
      </c>
      <c r="U65" s="9" t="n">
        <v>0.8776</v>
      </c>
      <c r="Y65" s="19" t="s">
        <v>35</v>
      </c>
      <c r="Z65" s="20" t="n">
        <f aca="false">S19</f>
        <v>0.9988</v>
      </c>
      <c r="AA65" s="20" t="n">
        <f aca="false">T19</f>
        <v>0.9924</v>
      </c>
      <c r="AB65" s="21" t="n">
        <f aca="false">U19</f>
        <v>0.9944</v>
      </c>
      <c r="AC65" s="21" t="n">
        <f aca="false">S38</f>
        <v>0.3869</v>
      </c>
      <c r="AD65" s="21" t="n">
        <f aca="false">T38</f>
        <v>0.3522</v>
      </c>
      <c r="AE65" s="21" t="n">
        <f aca="false">U38</f>
        <v>0.5995</v>
      </c>
      <c r="AF65" s="20" t="n">
        <f aca="false">S56</f>
        <v>0.9828</v>
      </c>
      <c r="AG65" s="20" t="n">
        <f aca="false">T56</f>
        <v>0.8962</v>
      </c>
      <c r="AH65" s="21" t="n">
        <f aca="false">U56</f>
        <v>0.8739</v>
      </c>
      <c r="AI65" s="21" t="n">
        <f aca="false">S74</f>
        <v>0.958</v>
      </c>
      <c r="AJ65" s="21" t="n">
        <f aca="false">T74</f>
        <v>0.8942</v>
      </c>
      <c r="AK65" s="21" t="n">
        <f aca="false">U74</f>
        <v>0.7583</v>
      </c>
      <c r="AL65" s="23" t="n">
        <f aca="false">AVERAGE(AA65,AD65,AG65,AJ65)</f>
        <v>0.78375</v>
      </c>
    </row>
    <row r="66" customFormat="false" ht="18" hidden="false" customHeight="true" outlineLevel="0" collapsed="false">
      <c r="B66" s="2" t="s">
        <v>30</v>
      </c>
      <c r="C66" s="9" t="n">
        <v>0.8154</v>
      </c>
      <c r="D66" s="9" t="n">
        <v>0.5775</v>
      </c>
      <c r="E66" s="9" t="n">
        <v>0.2512</v>
      </c>
      <c r="F66" s="9" t="n">
        <v>0.8371</v>
      </c>
      <c r="G66" s="9" t="n">
        <v>0.4861</v>
      </c>
      <c r="H66" s="9" t="n">
        <v>0.0411</v>
      </c>
      <c r="I66" s="9" t="n">
        <v>0.839</v>
      </c>
      <c r="J66" s="9" t="n">
        <v>0.4869</v>
      </c>
      <c r="K66" s="9" t="n">
        <v>0.041</v>
      </c>
      <c r="O66" s="2" t="s">
        <v>30</v>
      </c>
      <c r="P66" s="9" t="n">
        <v>0.9782</v>
      </c>
      <c r="Q66" s="9" t="n">
        <v>0.9444</v>
      </c>
      <c r="R66" s="9" t="n">
        <v>0.8287</v>
      </c>
      <c r="S66" s="9" t="n">
        <v>0.979</v>
      </c>
      <c r="T66" s="9" t="n">
        <v>0.9471</v>
      </c>
      <c r="U66" s="9" t="n">
        <v>0.8452</v>
      </c>
      <c r="Y66" s="14" t="s">
        <v>40</v>
      </c>
      <c r="Z66" s="15" t="n">
        <f aca="false">P20</f>
        <v>0.9984</v>
      </c>
      <c r="AA66" s="15" t="n">
        <f aca="false">Q20</f>
        <v>0.99</v>
      </c>
      <c r="AB66" s="15" t="n">
        <f aca="false">R20</f>
        <v>0.9855</v>
      </c>
      <c r="AC66" s="15" t="n">
        <f aca="false">P39</f>
        <v>0.8691</v>
      </c>
      <c r="AD66" s="15" t="n">
        <f aca="false">Q39</f>
        <v>0.4654</v>
      </c>
      <c r="AE66" s="15" t="n">
        <f aca="false">R39</f>
        <v>0.0004</v>
      </c>
      <c r="AF66" s="15" t="n">
        <f aca="false">P57</f>
        <v>0.999</v>
      </c>
      <c r="AG66" s="15" t="n">
        <f aca="false">Q57</f>
        <v>0.9938</v>
      </c>
      <c r="AH66" s="15" t="n">
        <f aca="false">R57</f>
        <v>1</v>
      </c>
      <c r="AI66" s="15" t="n">
        <f aca="false">P75</f>
        <v>0.944</v>
      </c>
      <c r="AJ66" s="15" t="n">
        <f aca="false">Q75</f>
        <v>0.8725</v>
      </c>
      <c r="AK66" s="15" t="n">
        <f aca="false">R75</f>
        <v>0.8154</v>
      </c>
      <c r="AL66" s="18" t="n">
        <f aca="false">AVERAGE(AA66,AD66,AG66,AJ66)</f>
        <v>0.830425</v>
      </c>
    </row>
    <row r="67" customFormat="false" ht="18" hidden="false" customHeight="true" outlineLevel="0" collapsed="false">
      <c r="B67" s="2" t="s">
        <v>34</v>
      </c>
      <c r="C67" s="9" t="n">
        <v>0.8525</v>
      </c>
      <c r="D67" s="9" t="n">
        <v>0.7033</v>
      </c>
      <c r="E67" s="9" t="n">
        <v>0.5549</v>
      </c>
      <c r="F67" s="9" t="n">
        <v>0.8385</v>
      </c>
      <c r="G67" s="9" t="n">
        <v>0.4853</v>
      </c>
      <c r="H67" s="9" t="n">
        <v>0.039</v>
      </c>
      <c r="I67" s="9" t="n">
        <v>0.8452</v>
      </c>
      <c r="J67" s="9" t="n">
        <v>0.6786</v>
      </c>
      <c r="K67" s="9" t="n">
        <v>0.483</v>
      </c>
      <c r="O67" s="2" t="s">
        <v>34</v>
      </c>
      <c r="P67" s="9" t="n">
        <v>0.9829</v>
      </c>
      <c r="Q67" s="9" t="n">
        <v>0.9573</v>
      </c>
      <c r="R67" s="9" t="n">
        <v>0.8729</v>
      </c>
      <c r="S67" s="9" t="n">
        <v>0.9508</v>
      </c>
      <c r="T67" s="9" t="n">
        <v>0.8922</v>
      </c>
      <c r="U67" s="9" t="n">
        <v>0.8917</v>
      </c>
      <c r="Y67" s="19" t="s">
        <v>43</v>
      </c>
      <c r="Z67" s="21" t="n">
        <f aca="false">S20</f>
        <v>0.9998</v>
      </c>
      <c r="AA67" s="21" t="n">
        <f aca="false">T20</f>
        <v>0.9988</v>
      </c>
      <c r="AB67" s="21" t="n">
        <f aca="false">U20</f>
        <v>1</v>
      </c>
      <c r="AC67" s="21" t="n">
        <f aca="false">S39</f>
        <v>0.8702</v>
      </c>
      <c r="AD67" s="21" t="n">
        <f aca="false">T39</f>
        <v>0.4654</v>
      </c>
      <c r="AE67" s="21" t="n">
        <f aca="false">U39</f>
        <v>0.0001</v>
      </c>
      <c r="AF67" s="21" t="n">
        <f aca="false">S57</f>
        <v>0.986</v>
      </c>
      <c r="AG67" s="21" t="n">
        <f aca="false">T57</f>
        <v>0.9191</v>
      </c>
      <c r="AH67" s="21" t="n">
        <f aca="false">U57</f>
        <v>0.9628</v>
      </c>
      <c r="AI67" s="21" t="n">
        <f aca="false">S75</f>
        <v>0.924</v>
      </c>
      <c r="AJ67" s="21" t="n">
        <f aca="false">T75</f>
        <v>0.82</v>
      </c>
      <c r="AK67" s="21" t="n">
        <f aca="false">U75</f>
        <v>0.6846</v>
      </c>
      <c r="AL67" s="26" t="n">
        <f aca="false">AVERAGE(AA67,AD67,AG67,AJ67)</f>
        <v>0.800825</v>
      </c>
    </row>
    <row r="68" customFormat="false" ht="18" hidden="false" customHeight="true" outlineLevel="0" collapsed="false">
      <c r="B68" s="2" t="s">
        <v>38</v>
      </c>
      <c r="C68" s="9" t="n">
        <v>0.7574</v>
      </c>
      <c r="D68" s="9" t="n">
        <v>0.5892</v>
      </c>
      <c r="E68" s="9" t="n">
        <v>0.4545</v>
      </c>
      <c r="F68" s="9" t="n">
        <v>0.8269</v>
      </c>
      <c r="G68" s="9" t="n">
        <v>0.4692</v>
      </c>
      <c r="H68" s="9" t="n">
        <v>0.0231</v>
      </c>
      <c r="I68" s="9" t="n">
        <v>0.8373</v>
      </c>
      <c r="J68" s="9" t="n">
        <v>0.4834</v>
      </c>
      <c r="K68" s="9" t="n">
        <v>0.0371</v>
      </c>
      <c r="O68" s="2" t="s">
        <v>38</v>
      </c>
      <c r="P68" s="9" t="n">
        <v>0.9843</v>
      </c>
      <c r="Q68" s="9" t="n">
        <v>0.9606</v>
      </c>
      <c r="R68" s="9" t="n">
        <v>0.8728</v>
      </c>
      <c r="S68" s="9" t="n">
        <v>0.9842</v>
      </c>
      <c r="T68" s="9" t="n">
        <v>0.9605</v>
      </c>
      <c r="U68" s="9" t="n">
        <v>0.8728</v>
      </c>
      <c r="Y68" s="14" t="s">
        <v>49</v>
      </c>
      <c r="Z68" s="15" t="n">
        <f aca="false">P21</f>
        <v>0.999</v>
      </c>
      <c r="AA68" s="15" t="n">
        <f aca="false">Q21</f>
        <v>0.9938</v>
      </c>
      <c r="AB68" s="15" t="n">
        <f aca="false">R21</f>
        <v>1</v>
      </c>
      <c r="AC68" s="15" t="n">
        <f aca="false">P40</f>
        <v>0.7249</v>
      </c>
      <c r="AD68" s="15" t="n">
        <f aca="false">Q40</f>
        <v>0.499</v>
      </c>
      <c r="AE68" s="15" t="n">
        <f aca="false">R40</f>
        <v>0.2059</v>
      </c>
      <c r="AF68" s="15" t="n">
        <f aca="false">P58</f>
        <v>0.999</v>
      </c>
      <c r="AG68" s="15" t="n">
        <f aca="false">Q58</f>
        <v>0.9938</v>
      </c>
      <c r="AH68" s="15" t="n">
        <f aca="false">R58</f>
        <v>1</v>
      </c>
      <c r="AI68" s="15" t="n">
        <f aca="false">P76</f>
        <v>0.9781</v>
      </c>
      <c r="AJ68" s="15" t="n">
        <f aca="false">Q76</f>
        <v>0.9443</v>
      </c>
      <c r="AK68" s="15" t="n">
        <f aca="false">R76</f>
        <v>0.8308</v>
      </c>
      <c r="AL68" s="12" t="n">
        <f aca="false">AVERAGE(AA68,AD68,AG68,AJ68)</f>
        <v>0.857725</v>
      </c>
    </row>
    <row r="69" customFormat="false" ht="18" hidden="false" customHeight="true" outlineLevel="0" collapsed="false">
      <c r="H69" s="0" t="s">
        <v>81</v>
      </c>
      <c r="R69" s="0" t="s">
        <v>81</v>
      </c>
      <c r="Y69" s="19" t="s">
        <v>53</v>
      </c>
      <c r="Z69" s="20" t="n">
        <f aca="false">S21</f>
        <v>0.971</v>
      </c>
      <c r="AA69" s="20" t="n">
        <f aca="false">T21</f>
        <v>0.8175</v>
      </c>
      <c r="AB69" s="20" t="n">
        <f aca="false">U21</f>
        <v>0.6563</v>
      </c>
      <c r="AC69" s="20" t="n">
        <f aca="false">S40</f>
        <v>0.785</v>
      </c>
      <c r="AD69" s="20" t="n">
        <f aca="false">T40</f>
        <v>0.4784</v>
      </c>
      <c r="AE69" s="21" t="n">
        <f aca="false">U40</f>
        <v>0.0706</v>
      </c>
      <c r="AF69" s="20" t="n">
        <f aca="false">S58</f>
        <v>0.9398</v>
      </c>
      <c r="AG69" s="20" t="n">
        <f aca="false">T58</f>
        <v>0.7684</v>
      </c>
      <c r="AH69" s="20" t="n">
        <f aca="false">U58</f>
        <v>1</v>
      </c>
      <c r="AI69" s="20" t="n">
        <f aca="false">S76</f>
        <v>0.879</v>
      </c>
      <c r="AJ69" s="20" t="n">
        <f aca="false">T76</f>
        <v>0.776</v>
      </c>
      <c r="AK69" s="21" t="n">
        <f aca="false">U76</f>
        <v>0.8393</v>
      </c>
      <c r="AL69" s="27" t="n">
        <f aca="false">AVERAGE(AA69,AD69,AG69,AJ69)</f>
        <v>0.710075</v>
      </c>
    </row>
    <row r="70" customFormat="false" ht="18" hidden="false" customHeight="true" outlineLevel="0" collapsed="false">
      <c r="E70" s="0" t="s">
        <v>100</v>
      </c>
      <c r="O70" s="0" t="s">
        <v>101</v>
      </c>
      <c r="Y70" s="14" t="s">
        <v>56</v>
      </c>
      <c r="Z70" s="16" t="n">
        <f aca="false">P22</f>
        <v>0.999</v>
      </c>
      <c r="AA70" s="16" t="n">
        <f aca="false">Q22</f>
        <v>0.9938</v>
      </c>
      <c r="AB70" s="15" t="n">
        <f aca="false">R22</f>
        <v>1</v>
      </c>
      <c r="AC70" s="15" t="n">
        <f aca="false">P41</f>
        <v>0.8688</v>
      </c>
      <c r="AD70" s="15" t="n">
        <f aca="false">Q41</f>
        <v>0.4649</v>
      </c>
      <c r="AE70" s="15" t="n">
        <f aca="false">R41</f>
        <v>0</v>
      </c>
      <c r="AF70" s="15" t="n">
        <f aca="false">P59</f>
        <v>0.999</v>
      </c>
      <c r="AG70" s="15" t="n">
        <f aca="false">Q59</f>
        <v>0.9938</v>
      </c>
      <c r="AH70" s="15" t="n">
        <f aca="false">R59</f>
        <v>1</v>
      </c>
      <c r="AI70" s="16" t="n">
        <f aca="false">P77</f>
        <v>0.9345</v>
      </c>
      <c r="AJ70" s="16" t="n">
        <f aca="false">Q77</f>
        <v>0.8244</v>
      </c>
      <c r="AK70" s="15" t="n">
        <f aca="false">R77</f>
        <v>0.5961</v>
      </c>
      <c r="AL70" s="18" t="n">
        <f aca="false">AVERAGE(AA70,AD70,AG70,AJ70)</f>
        <v>0.819225</v>
      </c>
    </row>
    <row r="71" customFormat="false" ht="18" hidden="false" customHeight="true" outlineLevel="0" collapsed="false">
      <c r="Y71" s="19" t="s">
        <v>59</v>
      </c>
      <c r="Z71" s="21" t="n">
        <f aca="false">S22</f>
        <v>0.9983</v>
      </c>
      <c r="AA71" s="21" t="n">
        <f aca="false">T22</f>
        <v>0.9893</v>
      </c>
      <c r="AB71" s="21" t="n">
        <f aca="false">U22</f>
        <v>0.9828</v>
      </c>
      <c r="AC71" s="21" t="n">
        <f aca="false">S41</f>
        <v>0.5304</v>
      </c>
      <c r="AD71" s="21" t="n">
        <f aca="false">T41</f>
        <v>0.3579</v>
      </c>
      <c r="AE71" s="21" t="n">
        <f aca="false">U41</f>
        <v>0.0465</v>
      </c>
      <c r="AF71" s="21" t="n">
        <f aca="false">S59</f>
        <v>0.9866</v>
      </c>
      <c r="AG71" s="21" t="n">
        <f aca="false">T59</f>
        <v>0.9239</v>
      </c>
      <c r="AH71" s="21" t="n">
        <f aca="false">U59</f>
        <v>0.989</v>
      </c>
      <c r="AI71" s="21" t="n">
        <f aca="false">S77</f>
        <v>0.8953</v>
      </c>
      <c r="AJ71" s="21" t="n">
        <f aca="false">T77</f>
        <v>0.8074</v>
      </c>
      <c r="AK71" s="21" t="n">
        <f aca="false">U77</f>
        <v>0.9176</v>
      </c>
      <c r="AL71" s="23" t="n">
        <f aca="false">AVERAGE(AA71,AD71,AG71,AJ71)</f>
        <v>0.769625</v>
      </c>
    </row>
    <row r="72" customFormat="false" ht="18" hidden="false" customHeight="true" outlineLevel="0" collapsed="false">
      <c r="B72" s="2"/>
      <c r="C72" s="3" t="s">
        <v>8</v>
      </c>
      <c r="D72" s="3"/>
      <c r="E72" s="3"/>
      <c r="F72" s="3" t="s">
        <v>9</v>
      </c>
      <c r="G72" s="3"/>
      <c r="H72" s="3"/>
      <c r="I72" s="3" t="s">
        <v>10</v>
      </c>
      <c r="J72" s="3"/>
      <c r="K72" s="3"/>
      <c r="O72" s="2"/>
      <c r="P72" s="3" t="s">
        <v>9</v>
      </c>
      <c r="Q72" s="3"/>
      <c r="R72" s="3"/>
      <c r="S72" s="3" t="s">
        <v>10</v>
      </c>
      <c r="T72" s="3"/>
      <c r="U72" s="3"/>
    </row>
    <row r="73" customFormat="false" ht="18" hidden="false" customHeight="true" outlineLevel="0" collapsed="false">
      <c r="B73" s="2"/>
      <c r="C73" s="2" t="s">
        <v>20</v>
      </c>
      <c r="D73" s="2" t="s">
        <v>21</v>
      </c>
      <c r="E73" s="2" t="s">
        <v>22</v>
      </c>
      <c r="F73" s="2" t="s">
        <v>20</v>
      </c>
      <c r="G73" s="2" t="s">
        <v>21</v>
      </c>
      <c r="H73" s="2" t="s">
        <v>22</v>
      </c>
      <c r="I73" s="2" t="s">
        <v>20</v>
      </c>
      <c r="J73" s="2" t="s">
        <v>21</v>
      </c>
      <c r="K73" s="2" t="s">
        <v>22</v>
      </c>
      <c r="O73" s="2"/>
      <c r="P73" s="2" t="s">
        <v>20</v>
      </c>
      <c r="Q73" s="2" t="s">
        <v>21</v>
      </c>
      <c r="R73" s="2" t="s">
        <v>22</v>
      </c>
      <c r="S73" s="2" t="s">
        <v>20</v>
      </c>
      <c r="T73" s="2" t="s">
        <v>21</v>
      </c>
      <c r="U73" s="2" t="s">
        <v>22</v>
      </c>
    </row>
    <row r="74" customFormat="false" ht="18" hidden="false" customHeight="true" outlineLevel="0" collapsed="false">
      <c r="B74" s="2" t="s">
        <v>26</v>
      </c>
      <c r="C74" s="9" t="n">
        <v>0.7966</v>
      </c>
      <c r="D74" s="9" t="n">
        <v>0.4992</v>
      </c>
      <c r="E74" s="9" t="n">
        <v>0.1004</v>
      </c>
      <c r="F74" s="9" t="n">
        <v>0.8236</v>
      </c>
      <c r="G74" s="9" t="n">
        <v>0.4669</v>
      </c>
      <c r="H74" s="9" t="n">
        <v>0.0217</v>
      </c>
      <c r="I74" s="9" t="n">
        <v>0.8363</v>
      </c>
      <c r="J74" s="9" t="n">
        <v>0.4815</v>
      </c>
      <c r="K74" s="9" t="n">
        <v>0.0351</v>
      </c>
      <c r="O74" s="2" t="s">
        <v>26</v>
      </c>
      <c r="P74" s="9" t="n">
        <v>0.9711</v>
      </c>
      <c r="Q74" s="9" t="n">
        <v>0.9269</v>
      </c>
      <c r="R74" s="9" t="n">
        <v>0.808</v>
      </c>
      <c r="S74" s="9" t="n">
        <v>0.958</v>
      </c>
      <c r="T74" s="9" t="n">
        <v>0.8942</v>
      </c>
      <c r="U74" s="9" t="n">
        <v>0.7583</v>
      </c>
    </row>
    <row r="75" customFormat="false" ht="18" hidden="false" customHeight="true" outlineLevel="0" collapsed="false">
      <c r="B75" s="2" t="s">
        <v>30</v>
      </c>
      <c r="C75" s="9" t="n">
        <v>0.7437</v>
      </c>
      <c r="D75" s="9" t="n">
        <v>0.5344</v>
      </c>
      <c r="E75" s="9" t="n">
        <v>0.2832</v>
      </c>
      <c r="F75" s="9" t="n">
        <v>0.8259</v>
      </c>
      <c r="G75" s="9" t="n">
        <v>0.4808</v>
      </c>
      <c r="H75" s="9" t="n">
        <v>0.0409</v>
      </c>
      <c r="I75" s="9" t="n">
        <v>0.8365</v>
      </c>
      <c r="J75" s="9" t="n">
        <v>0.4855</v>
      </c>
      <c r="K75" s="9" t="n">
        <v>0.0406</v>
      </c>
      <c r="O75" s="2" t="s">
        <v>30</v>
      </c>
      <c r="P75" s="9" t="n">
        <v>0.944</v>
      </c>
      <c r="Q75" s="9" t="n">
        <v>0.8725</v>
      </c>
      <c r="R75" s="9" t="n">
        <v>0.8154</v>
      </c>
      <c r="S75" s="9" t="n">
        <v>0.924</v>
      </c>
      <c r="T75" s="9" t="n">
        <v>0.82</v>
      </c>
      <c r="U75" s="9" t="n">
        <v>0.6846</v>
      </c>
    </row>
    <row r="76" customFormat="false" ht="18" hidden="false" customHeight="true" outlineLevel="0" collapsed="false">
      <c r="B76" s="2" t="s">
        <v>34</v>
      </c>
      <c r="C76" s="9" t="n">
        <v>0.8179</v>
      </c>
      <c r="D76" s="9" t="n">
        <v>0.6717</v>
      </c>
      <c r="E76" s="9" t="n">
        <v>0.5825</v>
      </c>
      <c r="F76" s="9" t="n">
        <v>0.8375</v>
      </c>
      <c r="G76" s="9" t="n">
        <v>0.4854</v>
      </c>
      <c r="H76" s="9" t="n">
        <v>0.0399</v>
      </c>
      <c r="I76" s="9" t="n">
        <v>0.7763</v>
      </c>
      <c r="J76" s="9" t="n">
        <v>0.6046</v>
      </c>
      <c r="K76" s="9" t="n">
        <v>0.4525</v>
      </c>
      <c r="O76" s="2" t="s">
        <v>34</v>
      </c>
      <c r="P76" s="9" t="n">
        <v>0.9781</v>
      </c>
      <c r="Q76" s="9" t="n">
        <v>0.9443</v>
      </c>
      <c r="R76" s="9" t="n">
        <v>0.8308</v>
      </c>
      <c r="S76" s="9" t="n">
        <v>0.879</v>
      </c>
      <c r="T76" s="9" t="n">
        <v>0.776</v>
      </c>
      <c r="U76" s="9" t="n">
        <v>0.8393</v>
      </c>
    </row>
    <row r="77" customFormat="false" ht="18" hidden="false" customHeight="true" outlineLevel="0" collapsed="false">
      <c r="B77" s="2" t="s">
        <v>38</v>
      </c>
      <c r="C77" s="9" t="n">
        <v>0.8249</v>
      </c>
      <c r="D77" s="9" t="n">
        <v>0.5661</v>
      </c>
      <c r="E77" s="9" t="n">
        <v>0.2034</v>
      </c>
      <c r="F77" s="9" t="n">
        <v>0.8207</v>
      </c>
      <c r="G77" s="9" t="n">
        <v>0.4668</v>
      </c>
      <c r="H77" s="9" t="n">
        <v>0.0231</v>
      </c>
      <c r="I77" s="9" t="n">
        <v>0.8265</v>
      </c>
      <c r="J77" s="9" t="n">
        <v>0.4761</v>
      </c>
      <c r="K77" s="9" t="n">
        <v>0.0335</v>
      </c>
      <c r="O77" s="2" t="s">
        <v>38</v>
      </c>
      <c r="P77" s="9" t="n">
        <v>0.9345</v>
      </c>
      <c r="Q77" s="9" t="n">
        <v>0.8244</v>
      </c>
      <c r="R77" s="9" t="n">
        <v>0.5961</v>
      </c>
      <c r="S77" s="9" t="n">
        <v>0.8953</v>
      </c>
      <c r="T77" s="9" t="n">
        <v>0.8074</v>
      </c>
      <c r="U77" s="9" t="n">
        <v>0.9176</v>
      </c>
    </row>
    <row r="78" customFormat="false" ht="18" hidden="false" customHeight="true" outlineLevel="0" collapsed="false"/>
    <row r="79" customFormat="false" ht="17.75" hidden="false" customHeight="true" outlineLevel="0" collapsed="false">
      <c r="E79" s="0" t="s">
        <v>102</v>
      </c>
    </row>
    <row r="80" customFormat="false" ht="17.75" hidden="false" customHeight="true" outlineLevel="0" collapsed="false"/>
    <row r="81" customFormat="false" ht="17.75" hidden="false" customHeight="true" outlineLevel="0" collapsed="false">
      <c r="B81" s="2"/>
      <c r="C81" s="3" t="s">
        <v>8</v>
      </c>
      <c r="D81" s="3"/>
      <c r="E81" s="3"/>
      <c r="F81" s="3" t="s">
        <v>9</v>
      </c>
      <c r="G81" s="3"/>
      <c r="H81" s="3"/>
      <c r="I81" s="3" t="s">
        <v>10</v>
      </c>
      <c r="J81" s="3"/>
      <c r="K81" s="3"/>
    </row>
    <row r="82" customFormat="false" ht="17.75" hidden="false" customHeight="true" outlineLevel="0" collapsed="false">
      <c r="B82" s="2"/>
      <c r="C82" s="2" t="s">
        <v>20</v>
      </c>
      <c r="D82" s="2" t="s">
        <v>21</v>
      </c>
      <c r="E82" s="2" t="s">
        <v>22</v>
      </c>
      <c r="F82" s="2" t="s">
        <v>20</v>
      </c>
      <c r="G82" s="2" t="s">
        <v>21</v>
      </c>
      <c r="H82" s="2" t="s">
        <v>22</v>
      </c>
      <c r="I82" s="2" t="s">
        <v>20</v>
      </c>
      <c r="J82" s="2" t="s">
        <v>21</v>
      </c>
      <c r="K82" s="2" t="s">
        <v>22</v>
      </c>
    </row>
    <row r="83" customFormat="false" ht="17.75" hidden="false" customHeight="true" outlineLevel="0" collapsed="false">
      <c r="B83" s="2" t="s">
        <v>26</v>
      </c>
      <c r="C83" s="9" t="n">
        <v>0.8921</v>
      </c>
      <c r="D83" s="9" t="n">
        <v>0.4785</v>
      </c>
      <c r="E83" s="9" t="n">
        <v>0.4986</v>
      </c>
      <c r="F83" s="9" t="n">
        <v>0.5154</v>
      </c>
      <c r="G83" s="9" t="n">
        <v>0.4143</v>
      </c>
      <c r="H83" s="9" t="n">
        <v>0.5102</v>
      </c>
      <c r="I83" s="9" t="n">
        <v>0.7471</v>
      </c>
      <c r="J83" s="9" t="n">
        <v>0.4834</v>
      </c>
      <c r="K83" s="9" t="n">
        <v>0.4879</v>
      </c>
    </row>
    <row r="84" customFormat="false" ht="17.75" hidden="false" customHeight="true" outlineLevel="0" collapsed="false">
      <c r="B84" s="2" t="s">
        <v>30</v>
      </c>
      <c r="C84" s="9" t="n">
        <v>0.8929</v>
      </c>
      <c r="D84" s="9" t="n">
        <v>0.4787</v>
      </c>
      <c r="E84" s="9" t="n">
        <v>0.499</v>
      </c>
      <c r="F84" s="9" t="n">
        <v>0.8118</v>
      </c>
      <c r="G84" s="9" t="n">
        <v>0.4925</v>
      </c>
      <c r="H84" s="9" t="n">
        <v>0.4923</v>
      </c>
      <c r="I84" s="9" t="n">
        <v>0.893</v>
      </c>
      <c r="J84" s="9" t="n">
        <v>0.4802</v>
      </c>
      <c r="K84" s="9" t="n">
        <v>0.4998</v>
      </c>
    </row>
    <row r="85" customFormat="false" ht="17.75" hidden="false" customHeight="true" outlineLevel="0" collapsed="false">
      <c r="B85" s="2" t="s">
        <v>34</v>
      </c>
      <c r="C85" s="9" t="n">
        <v>0.759</v>
      </c>
      <c r="D85" s="9" t="n">
        <v>0.5468</v>
      </c>
      <c r="E85" s="9" t="n">
        <v>0.589</v>
      </c>
      <c r="F85" s="9" t="n">
        <v>0.7082</v>
      </c>
      <c r="G85" s="9" t="n">
        <v>0.4854</v>
      </c>
      <c r="H85" s="9" t="n">
        <v>0.5057</v>
      </c>
      <c r="I85" s="9" t="n">
        <v>0.8915</v>
      </c>
      <c r="J85" s="9" t="n">
        <v>0.6344</v>
      </c>
      <c r="K85" s="9" t="n">
        <v>0.6135</v>
      </c>
    </row>
    <row r="86" customFormat="false" ht="17.75" hidden="false" customHeight="true" outlineLevel="0" collapsed="false">
      <c r="B86" s="2" t="s">
        <v>38</v>
      </c>
      <c r="C86" s="9" t="n">
        <v>0.773</v>
      </c>
      <c r="D86" s="9" t="n">
        <v>0.4877</v>
      </c>
      <c r="E86" s="9" t="n">
        <v>0.489</v>
      </c>
      <c r="F86" s="9" t="n">
        <v>0.7082</v>
      </c>
      <c r="G86" s="9" t="n">
        <v>0.4854</v>
      </c>
      <c r="H86" s="9" t="n">
        <v>0.5057</v>
      </c>
      <c r="I86" s="9" t="n">
        <v>0.7988</v>
      </c>
      <c r="J86" s="9" t="n">
        <v>0.4998</v>
      </c>
      <c r="K86" s="9" t="n">
        <v>0.5009</v>
      </c>
    </row>
    <row r="87" customFormat="false" ht="17.75" hidden="false" customHeight="true" outlineLevel="0" collapsed="false">
      <c r="H87" s="0" t="s">
        <v>81</v>
      </c>
    </row>
    <row r="88" customFormat="false" ht="17.75" hidden="false" customHeight="true" outlineLevel="0" collapsed="false">
      <c r="E88" s="0" t="s">
        <v>103</v>
      </c>
    </row>
    <row r="89" customFormat="false" ht="17.75" hidden="false" customHeight="true" outlineLevel="0" collapsed="false"/>
    <row r="90" customFormat="false" ht="17.75" hidden="false" customHeight="true" outlineLevel="0" collapsed="false">
      <c r="B90" s="2"/>
      <c r="C90" s="3" t="s">
        <v>8</v>
      </c>
      <c r="D90" s="3"/>
      <c r="E90" s="3"/>
      <c r="F90" s="3" t="s">
        <v>9</v>
      </c>
      <c r="G90" s="3"/>
      <c r="H90" s="3"/>
      <c r="I90" s="3" t="s">
        <v>10</v>
      </c>
      <c r="J90" s="3"/>
      <c r="K90" s="3"/>
    </row>
    <row r="91" customFormat="false" ht="17.75" hidden="false" customHeight="true" outlineLevel="0" collapsed="false">
      <c r="B91" s="2"/>
      <c r="C91" s="2" t="s">
        <v>20</v>
      </c>
      <c r="D91" s="2" t="s">
        <v>21</v>
      </c>
      <c r="E91" s="2" t="s">
        <v>22</v>
      </c>
      <c r="F91" s="2" t="s">
        <v>20</v>
      </c>
      <c r="G91" s="2" t="s">
        <v>21</v>
      </c>
      <c r="H91" s="2" t="s">
        <v>22</v>
      </c>
      <c r="I91" s="2" t="s">
        <v>20</v>
      </c>
      <c r="J91" s="2" t="s">
        <v>21</v>
      </c>
      <c r="K91" s="2" t="s">
        <v>22</v>
      </c>
    </row>
    <row r="92" customFormat="false" ht="17.75" hidden="false" customHeight="true" outlineLevel="0" collapsed="false">
      <c r="B92" s="2" t="s">
        <v>26</v>
      </c>
      <c r="C92" s="9" t="n">
        <v>0.8919</v>
      </c>
      <c r="D92" s="9" t="n">
        <v>0.4785</v>
      </c>
      <c r="E92" s="9" t="n">
        <v>0.4985</v>
      </c>
      <c r="F92" s="9" t="n">
        <v>0.7082</v>
      </c>
      <c r="G92" s="9" t="n">
        <v>0.4854</v>
      </c>
      <c r="H92" s="9" t="n">
        <v>0.5057</v>
      </c>
      <c r="I92" s="9" t="n">
        <v>0.7655</v>
      </c>
      <c r="J92" s="9" t="n">
        <v>0.4863</v>
      </c>
      <c r="K92" s="9" t="n">
        <v>0.4884</v>
      </c>
    </row>
    <row r="93" customFormat="false" ht="17.75" hidden="false" customHeight="true" outlineLevel="0" collapsed="false">
      <c r="B93" s="2" t="s">
        <v>30</v>
      </c>
      <c r="C93" s="9" t="n">
        <v>0.8928</v>
      </c>
      <c r="D93" s="9" t="n">
        <v>0.4797</v>
      </c>
      <c r="E93" s="9" t="n">
        <v>0.4995</v>
      </c>
      <c r="F93" s="9" t="n">
        <v>0.8117</v>
      </c>
      <c r="G93" s="9" t="n">
        <v>0.4922</v>
      </c>
      <c r="H93" s="9" t="n">
        <v>0.492</v>
      </c>
      <c r="I93" s="9" t="n">
        <v>0.8925</v>
      </c>
      <c r="J93" s="9" t="n">
        <v>0.4785</v>
      </c>
      <c r="K93" s="9" t="n">
        <v>0.4987</v>
      </c>
    </row>
    <row r="94" customFormat="false" ht="17.75" hidden="false" customHeight="true" outlineLevel="0" collapsed="false">
      <c r="B94" s="2" t="s">
        <v>34</v>
      </c>
      <c r="C94" s="9" t="n">
        <v>0.8259</v>
      </c>
      <c r="D94" s="9" t="n">
        <v>0.5174</v>
      </c>
      <c r="E94" s="9" t="n">
        <v>0.5175</v>
      </c>
      <c r="F94" s="9" t="n">
        <v>0.7082</v>
      </c>
      <c r="G94" s="9" t="n">
        <v>0.4854</v>
      </c>
      <c r="H94" s="9" t="n">
        <v>0.5057</v>
      </c>
      <c r="I94" s="9" t="n">
        <v>0.8632</v>
      </c>
      <c r="J94" s="9" t="n">
        <v>0.503</v>
      </c>
      <c r="K94" s="9" t="n">
        <v>0.5058</v>
      </c>
    </row>
    <row r="95" customFormat="false" ht="17.75" hidden="false" customHeight="true" outlineLevel="0" collapsed="false">
      <c r="B95" s="2" t="s">
        <v>38</v>
      </c>
      <c r="C95" s="9" t="n">
        <v>0.8926</v>
      </c>
      <c r="D95" s="9" t="n">
        <v>0.4773</v>
      </c>
      <c r="E95" s="9" t="n">
        <v>0.4982</v>
      </c>
      <c r="F95" s="9" t="n">
        <v>0.7082</v>
      </c>
      <c r="G95" s="9" t="n">
        <v>0.4854</v>
      </c>
      <c r="H95" s="9" t="n">
        <v>0.5057</v>
      </c>
      <c r="I95" s="9" t="n">
        <v>0.7865</v>
      </c>
      <c r="J95" s="9" t="n">
        <v>0.4829</v>
      </c>
      <c r="K95" s="9" t="n">
        <v>0.482</v>
      </c>
    </row>
    <row r="96" customFormat="false" ht="12.8" hidden="false" customHeight="true" outlineLevel="0" collapsed="false"/>
  </sheetData>
  <mergeCells count="89">
    <mergeCell ref="C8:E8"/>
    <mergeCell ref="F8:H8"/>
    <mergeCell ref="I8:K8"/>
    <mergeCell ref="P8:R8"/>
    <mergeCell ref="S8:U8"/>
    <mergeCell ref="Z8:AB8"/>
    <mergeCell ref="AC8:AE8"/>
    <mergeCell ref="AF8:AH8"/>
    <mergeCell ref="AI8:AK8"/>
    <mergeCell ref="AL8:AN8"/>
    <mergeCell ref="AT8:AV8"/>
    <mergeCell ref="AW8:AY8"/>
    <mergeCell ref="BC8:BC9"/>
    <mergeCell ref="BD8:BF9"/>
    <mergeCell ref="BG8:BI9"/>
    <mergeCell ref="BJ8:BJ9"/>
    <mergeCell ref="BO8:BQ8"/>
    <mergeCell ref="BR8:BT8"/>
    <mergeCell ref="BU8:BW8"/>
    <mergeCell ref="BX8:BZ8"/>
    <mergeCell ref="CA8:CC8"/>
    <mergeCell ref="C17:E17"/>
    <mergeCell ref="F17:H17"/>
    <mergeCell ref="I17:K17"/>
    <mergeCell ref="P17:R17"/>
    <mergeCell ref="S17:U17"/>
    <mergeCell ref="AT17:AV17"/>
    <mergeCell ref="AW17:AY17"/>
    <mergeCell ref="BC24:BC25"/>
    <mergeCell ref="BD24:BF25"/>
    <mergeCell ref="BG24:BI25"/>
    <mergeCell ref="BJ24:BJ25"/>
    <mergeCell ref="C27:E27"/>
    <mergeCell ref="F27:H27"/>
    <mergeCell ref="I27:K27"/>
    <mergeCell ref="P27:R27"/>
    <mergeCell ref="S27:U27"/>
    <mergeCell ref="AT27:AV27"/>
    <mergeCell ref="AW27:AY27"/>
    <mergeCell ref="Z28:AB28"/>
    <mergeCell ref="AC28:AE28"/>
    <mergeCell ref="AF28:AH28"/>
    <mergeCell ref="AI28:AK28"/>
    <mergeCell ref="AL28:AN28"/>
    <mergeCell ref="C36:E36"/>
    <mergeCell ref="F36:H36"/>
    <mergeCell ref="I36:K36"/>
    <mergeCell ref="P36:R36"/>
    <mergeCell ref="S36:U36"/>
    <mergeCell ref="AT36:AV36"/>
    <mergeCell ref="AW36:AY36"/>
    <mergeCell ref="C45:E45"/>
    <mergeCell ref="F45:H45"/>
    <mergeCell ref="I45:K45"/>
    <mergeCell ref="P45:R45"/>
    <mergeCell ref="S45:U45"/>
    <mergeCell ref="Y45:Y46"/>
    <mergeCell ref="Z45:AB46"/>
    <mergeCell ref="AC45:AE46"/>
    <mergeCell ref="AF45:AH46"/>
    <mergeCell ref="AI45:AK46"/>
    <mergeCell ref="AL45:AL46"/>
    <mergeCell ref="C54:E54"/>
    <mergeCell ref="F54:H54"/>
    <mergeCell ref="I54:K54"/>
    <mergeCell ref="P54:R54"/>
    <mergeCell ref="S54:U54"/>
    <mergeCell ref="Y61:Y62"/>
    <mergeCell ref="Z61:AB62"/>
    <mergeCell ref="AC61:AE62"/>
    <mergeCell ref="AF61:AH62"/>
    <mergeCell ref="AI61:AK62"/>
    <mergeCell ref="AL61:AL62"/>
    <mergeCell ref="C63:E63"/>
    <mergeCell ref="F63:H63"/>
    <mergeCell ref="I63:K63"/>
    <mergeCell ref="P63:R63"/>
    <mergeCell ref="S63:U63"/>
    <mergeCell ref="C72:E72"/>
    <mergeCell ref="F72:H72"/>
    <mergeCell ref="I72:K72"/>
    <mergeCell ref="P72:R72"/>
    <mergeCell ref="S72:U72"/>
    <mergeCell ref="C81:E81"/>
    <mergeCell ref="F81:H81"/>
    <mergeCell ref="I81:K81"/>
    <mergeCell ref="C90:E90"/>
    <mergeCell ref="F90:H90"/>
    <mergeCell ref="I90:K9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2026-01-08T23:54:20Z</dcterms:modified>
  <cp:revision>913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qrichtext">
    <vt:lpwstr>1</vt:lpwstr>
  </property>
</Properties>
</file>